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6600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姓名">[1]说明!$AB$2:$AB$99</definedName>
    <definedName name="班号">[2]说明!$A$2:$A$49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Z1" authorId="0">
      <text>
        <r>
          <rPr>
            <sz val="10"/>
            <rFont val="宋体"/>
            <charset val="134"/>
          </rPr>
          <t>班号+序号,公式自动生成,不要清除，请复制下拉对齐最后一个学生。
只需要在第1次考试表中填写，其他次考试表页不用填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1" authorId="0">
      <text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、如果有重名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则会自动显黄色表示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请将该考生姓名修改为姓名</t>
        </r>
        <r>
          <rPr>
            <sz val="9"/>
            <rFont val="Tahoma"/>
            <charset val="134"/>
          </rPr>
          <t>+</t>
        </r>
        <r>
          <rPr>
            <sz val="9"/>
            <rFont val="宋体"/>
            <charset val="134"/>
          </rPr>
          <t>学号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或者</t>
        </r>
        <r>
          <rPr>
            <sz val="9"/>
            <rFont val="Tahoma"/>
            <charset val="134"/>
          </rPr>
          <t>+</t>
        </r>
        <r>
          <rPr>
            <sz val="9"/>
            <rFont val="宋体"/>
            <charset val="134"/>
          </rPr>
          <t>序号也行</t>
        </r>
        <r>
          <rPr>
            <sz val="9"/>
            <rFont val="Tahoma"/>
            <charset val="134"/>
          </rPr>
          <t>.
2</t>
        </r>
        <r>
          <rPr>
            <sz val="9"/>
            <rFont val="宋体"/>
            <charset val="134"/>
          </rPr>
          <t>、各次考试的学生顺序不要求一致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随便排列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直接复制粘贴进来即可</t>
        </r>
        <r>
          <rPr>
            <sz val="9"/>
            <rFont val="Tahoma"/>
            <charset val="134"/>
          </rPr>
          <t>.</t>
        </r>
      </text>
    </comment>
  </commentList>
</comments>
</file>

<file path=xl/sharedStrings.xml><?xml version="1.0" encoding="utf-8"?>
<sst xmlns="http://schemas.openxmlformats.org/spreadsheetml/2006/main" count="332" uniqueCount="124">
  <si>
    <t>考试顺序</t>
  </si>
  <si>
    <t>考试时间</t>
  </si>
  <si>
    <t>班号</t>
  </si>
  <si>
    <t>学号</t>
  </si>
  <si>
    <t>姓名</t>
  </si>
  <si>
    <t>语文</t>
  </si>
  <si>
    <t>数学</t>
  </si>
  <si>
    <t>英语</t>
  </si>
  <si>
    <t>物理</t>
  </si>
  <si>
    <t>化学</t>
  </si>
  <si>
    <t>政治</t>
  </si>
  <si>
    <t>历史</t>
  </si>
  <si>
    <t>地理</t>
  </si>
  <si>
    <t>生物</t>
  </si>
  <si>
    <t>总分</t>
  </si>
  <si>
    <t>序号</t>
  </si>
  <si>
    <t>2025-12月考</t>
  </si>
  <si>
    <t>高一（20）</t>
  </si>
  <si>
    <t>201851</t>
  </si>
  <si>
    <t>叶鑫</t>
  </si>
  <si>
    <t>201904</t>
  </si>
  <si>
    <t>陈富华</t>
  </si>
  <si>
    <t>201919</t>
  </si>
  <si>
    <t>黄志恩</t>
  </si>
  <si>
    <t>201958</t>
  </si>
  <si>
    <t>周虹源</t>
  </si>
  <si>
    <t>201959</t>
  </si>
  <si>
    <t>朱晨昕</t>
  </si>
  <si>
    <t>202007</t>
  </si>
  <si>
    <t>陈梓轩</t>
  </si>
  <si>
    <t>202011</t>
  </si>
  <si>
    <t>古俊垚</t>
  </si>
  <si>
    <t>202013</t>
  </si>
  <si>
    <t>何伟钧</t>
  </si>
  <si>
    <t>202020</t>
  </si>
  <si>
    <t>蓝千贺</t>
  </si>
  <si>
    <t>202022</t>
  </si>
  <si>
    <t>李皓林</t>
  </si>
  <si>
    <t>202040</t>
  </si>
  <si>
    <t>孙宇杰</t>
  </si>
  <si>
    <t>202109</t>
  </si>
  <si>
    <t>何珈霖</t>
  </si>
  <si>
    <t>202256</t>
  </si>
  <si>
    <t>周嘉懿</t>
  </si>
  <si>
    <t>2</t>
  </si>
  <si>
    <t>200107</t>
  </si>
  <si>
    <t>陈伟莹</t>
  </si>
  <si>
    <t>缺考</t>
  </si>
  <si>
    <t>200110</t>
  </si>
  <si>
    <t>陈紫琪</t>
  </si>
  <si>
    <t>200125</t>
  </si>
  <si>
    <t>刘晨曦</t>
  </si>
  <si>
    <t>200131</t>
  </si>
  <si>
    <t>卢俊尚</t>
  </si>
  <si>
    <t>200211</t>
  </si>
  <si>
    <t>何俊霖</t>
  </si>
  <si>
    <t>200234</t>
  </si>
  <si>
    <t>龙誉</t>
  </si>
  <si>
    <t>200237</t>
  </si>
  <si>
    <t>罗辉</t>
  </si>
  <si>
    <t>200240</t>
  </si>
  <si>
    <t>庞宇晴</t>
  </si>
  <si>
    <t>200249</t>
  </si>
  <si>
    <t>吴建宏</t>
  </si>
  <si>
    <t>200319</t>
  </si>
  <si>
    <t>李若佳</t>
  </si>
  <si>
    <t>200339</t>
  </si>
  <si>
    <t>王天赐</t>
  </si>
  <si>
    <t>200410</t>
  </si>
  <si>
    <t>黄健标</t>
  </si>
  <si>
    <t>200419</t>
  </si>
  <si>
    <t>李志峰</t>
  </si>
  <si>
    <t>200443</t>
  </si>
  <si>
    <t>王梓诚</t>
  </si>
  <si>
    <t>200522</t>
  </si>
  <si>
    <t>刘锦荣</t>
  </si>
  <si>
    <t>200524</t>
  </si>
  <si>
    <t>倪雨泽</t>
  </si>
  <si>
    <t>200553</t>
  </si>
  <si>
    <t>赵靖轩</t>
  </si>
  <si>
    <t>200614</t>
  </si>
  <si>
    <t>黄浩</t>
  </si>
  <si>
    <t>200628</t>
  </si>
  <si>
    <t>廖逸轩</t>
  </si>
  <si>
    <t>200705</t>
  </si>
  <si>
    <t>陈鹏宇</t>
  </si>
  <si>
    <t>200708</t>
  </si>
  <si>
    <t>陈智宏</t>
  </si>
  <si>
    <t>200905</t>
  </si>
  <si>
    <t>陈君彤</t>
  </si>
  <si>
    <t>200951</t>
  </si>
  <si>
    <t>袁旨睿</t>
  </si>
  <si>
    <t>201008</t>
  </si>
  <si>
    <t>何豪源</t>
  </si>
  <si>
    <t>201103</t>
  </si>
  <si>
    <t>陈靖檀</t>
  </si>
  <si>
    <t>201126</t>
  </si>
  <si>
    <t>梁芯怡</t>
  </si>
  <si>
    <t>201222</t>
  </si>
  <si>
    <t>李明杰</t>
  </si>
  <si>
    <t>201237</t>
  </si>
  <si>
    <t>米品轩</t>
  </si>
  <si>
    <t>201250</t>
  </si>
  <si>
    <t>颜梓轩</t>
  </si>
  <si>
    <t>201301</t>
  </si>
  <si>
    <t>曹炜俊</t>
  </si>
  <si>
    <t>201557</t>
  </si>
  <si>
    <t>周子健</t>
  </si>
  <si>
    <t>201610</t>
  </si>
  <si>
    <t>邓颖宇</t>
  </si>
  <si>
    <t>201624</t>
  </si>
  <si>
    <t>李慕晨</t>
  </si>
  <si>
    <t>201758</t>
  </si>
  <si>
    <t>周宇轩</t>
  </si>
  <si>
    <t>201810</t>
  </si>
  <si>
    <t>冯晓辉</t>
  </si>
  <si>
    <t>201823</t>
  </si>
  <si>
    <t>李志博</t>
  </si>
  <si>
    <t>201829</t>
  </si>
  <si>
    <t>刘涵彬</t>
  </si>
  <si>
    <t>201832</t>
  </si>
  <si>
    <t>卢俊谚</t>
  </si>
  <si>
    <t>201836</t>
  </si>
  <si>
    <t>毛良彬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</si>
</sst>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ajor"/>
    </font>
    <font>
      <b/>
      <sz val="11"/>
      <color rgb="FFFF000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ahoma"/>
      <charset val="134"/>
    </font>
    <font>
      <sz val="9"/>
      <name val="宋体"/>
      <charset val="134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6" fontId="1" fillId="3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0" fontId="1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 applyProtection="1">
      <alignment vertical="center"/>
      <protection locked="0"/>
    </xf>
    <xf numFmtId="49" fontId="1" fillId="3" borderId="1" xfId="0" applyNumberFormat="1" applyFont="1" applyFill="1" applyBorder="1" applyAlignment="1" applyProtection="1">
      <alignment vertical="center"/>
      <protection locked="0"/>
    </xf>
    <xf numFmtId="0" fontId="1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176" fontId="1" fillId="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ill>
        <patternFill patternType="solid">
          <bgColor theme="3" tint="0.59996337778862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3" tint="0.59996337778862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/Code/test-excel/test-&#21382;&#21490;&#32771;&#35797;&#23545;&#27604;_&#25193;&#23637;&#29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/Library/Containers/com.tencent.xinWeChat/Data/Documents/xwechat_files/wxid_c7tcx2c9xhcy22_aef3/msg/file/2026-01/&#21382;&#27425;&#32771;&#35797;&#25104;&#32489;&#23545;&#27604;&#20998;&#26512;&#27169;&#26495;&#65288;20&#29677;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统计"/>
      <sheetName val="说明"/>
      <sheetName val="班级打印"/>
      <sheetName val="个人分析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</sheetNames>
    <sheetDataSet>
      <sheetData sheetId="0"/>
      <sheetData sheetId="1">
        <row r="1">
          <cell r="A1" t="str">
            <v>班号设定</v>
          </cell>
          <cell r="B1" t="str">
            <v>序号</v>
          </cell>
        </row>
        <row r="2">
          <cell r="A2" t="str">
            <v>高一（20）</v>
          </cell>
          <cell r="B2">
            <v>1</v>
          </cell>
        </row>
        <row r="3">
          <cell r="A3">
            <v>0</v>
          </cell>
          <cell r="B3">
            <v>2</v>
          </cell>
        </row>
        <row r="4">
          <cell r="A4" t="str">
            <v/>
          </cell>
          <cell r="B4" t="str">
            <v/>
          </cell>
        </row>
        <row r="5">
          <cell r="A5" t="str">
            <v/>
          </cell>
          <cell r="B5" t="str">
            <v/>
          </cell>
        </row>
        <row r="6">
          <cell r="A6" t="str">
            <v/>
          </cell>
          <cell r="B6" t="str">
            <v/>
          </cell>
        </row>
        <row r="7">
          <cell r="A7" t="str">
            <v/>
          </cell>
          <cell r="B7" t="str">
            <v/>
          </cell>
        </row>
        <row r="8">
          <cell r="A8" t="str">
            <v/>
          </cell>
          <cell r="B8" t="str">
            <v/>
          </cell>
        </row>
        <row r="9">
          <cell r="A9" t="str">
            <v/>
          </cell>
          <cell r="B9" t="str">
            <v/>
          </cell>
        </row>
        <row r="10">
          <cell r="A10" t="str">
            <v/>
          </cell>
          <cell r="B10" t="str">
            <v/>
          </cell>
        </row>
        <row r="11">
          <cell r="A11" t="str">
            <v/>
          </cell>
          <cell r="B11" t="str">
            <v/>
          </cell>
        </row>
        <row r="12">
          <cell r="A12" t="str">
            <v/>
          </cell>
          <cell r="B12" t="str">
            <v/>
          </cell>
        </row>
        <row r="13">
          <cell r="A13" t="str">
            <v/>
          </cell>
          <cell r="B13" t="str">
            <v/>
          </cell>
        </row>
        <row r="14">
          <cell r="A14" t="str">
            <v/>
          </cell>
          <cell r="B14" t="str">
            <v/>
          </cell>
        </row>
        <row r="15">
          <cell r="A15" t="str">
            <v/>
          </cell>
          <cell r="B15" t="str">
            <v/>
          </cell>
        </row>
        <row r="16">
          <cell r="A16" t="str">
            <v/>
          </cell>
          <cell r="B16" t="str">
            <v/>
          </cell>
        </row>
        <row r="17">
          <cell r="A17" t="str">
            <v/>
          </cell>
          <cell r="B17" t="str">
            <v/>
          </cell>
        </row>
        <row r="18">
          <cell r="A18" t="str">
            <v/>
          </cell>
          <cell r="B18" t="str">
            <v/>
          </cell>
        </row>
        <row r="19">
          <cell r="A19" t="str">
            <v/>
          </cell>
          <cell r="B19" t="str">
            <v/>
          </cell>
        </row>
        <row r="20">
          <cell r="A20" t="str">
            <v/>
          </cell>
          <cell r="B20" t="str">
            <v/>
          </cell>
        </row>
        <row r="21">
          <cell r="A21" t="str">
            <v/>
          </cell>
          <cell r="B21" t="str">
            <v/>
          </cell>
        </row>
        <row r="22">
          <cell r="A22" t="str">
            <v/>
          </cell>
          <cell r="B22" t="str">
            <v/>
          </cell>
        </row>
        <row r="23">
          <cell r="A23" t="str">
            <v/>
          </cell>
          <cell r="B23" t="str">
            <v/>
          </cell>
        </row>
        <row r="24">
          <cell r="A24" t="str">
            <v/>
          </cell>
          <cell r="B24" t="str">
            <v/>
          </cell>
        </row>
        <row r="25">
          <cell r="A25" t="str">
            <v/>
          </cell>
          <cell r="B25" t="str">
            <v/>
          </cell>
        </row>
        <row r="26">
          <cell r="A26" t="str">
            <v/>
          </cell>
          <cell r="B26" t="str">
            <v/>
          </cell>
        </row>
        <row r="27">
          <cell r="A27" t="str">
            <v/>
          </cell>
          <cell r="B27" t="str">
            <v/>
          </cell>
        </row>
        <row r="28">
          <cell r="A28" t="str">
            <v/>
          </cell>
          <cell r="B28" t="str">
            <v/>
          </cell>
        </row>
        <row r="29">
          <cell r="A29" t="str">
            <v/>
          </cell>
          <cell r="B29" t="str">
            <v/>
          </cell>
        </row>
        <row r="30">
          <cell r="A30" t="str">
            <v/>
          </cell>
          <cell r="B30" t="str">
            <v/>
          </cell>
        </row>
        <row r="31">
          <cell r="A31" t="str">
            <v/>
          </cell>
          <cell r="B31" t="str">
            <v/>
          </cell>
        </row>
        <row r="32">
          <cell r="A32" t="str">
            <v/>
          </cell>
          <cell r="B32" t="str">
            <v/>
          </cell>
        </row>
        <row r="33">
          <cell r="A33" t="str">
            <v/>
          </cell>
          <cell r="B33" t="str">
            <v/>
          </cell>
        </row>
        <row r="34">
          <cell r="A34" t="str">
            <v/>
          </cell>
          <cell r="B34" t="str">
            <v/>
          </cell>
        </row>
        <row r="35">
          <cell r="A35" t="str">
            <v/>
          </cell>
          <cell r="B35" t="str">
            <v/>
          </cell>
        </row>
        <row r="36">
          <cell r="A36" t="str">
            <v/>
          </cell>
          <cell r="B36" t="str">
            <v/>
          </cell>
        </row>
        <row r="37">
          <cell r="A37" t="str">
            <v/>
          </cell>
          <cell r="B37" t="str">
            <v/>
          </cell>
        </row>
        <row r="38">
          <cell r="A38" t="str">
            <v/>
          </cell>
          <cell r="B38" t="str">
            <v/>
          </cell>
        </row>
        <row r="39">
          <cell r="A39" t="str">
            <v/>
          </cell>
          <cell r="B39" t="str">
            <v/>
          </cell>
        </row>
        <row r="40">
          <cell r="A40" t="str">
            <v/>
          </cell>
          <cell r="B40" t="str">
            <v/>
          </cell>
        </row>
        <row r="41">
          <cell r="A41" t="str">
            <v/>
          </cell>
          <cell r="B41" t="str">
            <v/>
          </cell>
        </row>
        <row r="42">
          <cell r="A42" t="str">
            <v/>
          </cell>
          <cell r="B42" t="str">
            <v/>
          </cell>
        </row>
        <row r="43">
          <cell r="A43" t="str">
            <v/>
          </cell>
          <cell r="B43" t="str">
            <v/>
          </cell>
        </row>
        <row r="44">
          <cell r="A44" t="str">
            <v/>
          </cell>
          <cell r="B44" t="str">
            <v/>
          </cell>
        </row>
        <row r="45">
          <cell r="A45" t="str">
            <v/>
          </cell>
          <cell r="B45" t="str">
            <v/>
          </cell>
        </row>
        <row r="46">
          <cell r="A46" t="str">
            <v/>
          </cell>
          <cell r="B46" t="str">
            <v/>
          </cell>
        </row>
        <row r="47">
          <cell r="A47" t="str">
            <v/>
          </cell>
          <cell r="B47" t="str">
            <v/>
          </cell>
        </row>
        <row r="48">
          <cell r="A48" t="str">
            <v/>
          </cell>
          <cell r="B48" t="str">
            <v/>
          </cell>
        </row>
        <row r="49">
          <cell r="A49" t="str">
            <v/>
          </cell>
          <cell r="B49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班级打印"/>
      <sheetName val="个人分析"/>
      <sheetName val="1"/>
      <sheetName val="2"/>
      <sheetName val="3"/>
      <sheetName val="4"/>
      <sheetName val="5"/>
      <sheetName val="6"/>
      <sheetName val="7"/>
      <sheetName val="8"/>
    </sheetNames>
    <sheetDataSet>
      <sheetData sheetId="0"/>
      <sheetData sheetId="1"/>
      <sheetData sheetId="2"/>
      <sheetData sheetId="3">
        <row r="1">
          <cell r="A1" t="str">
            <v>考试顺序</v>
          </cell>
          <cell r="B1" t="str">
            <v>考试时间</v>
          </cell>
          <cell r="C1" t="str">
            <v>班号</v>
          </cell>
          <cell r="D1" t="str">
            <v>学号</v>
          </cell>
          <cell r="E1" t="str">
            <v>姓名</v>
          </cell>
          <cell r="F1" t="str">
            <v>语文</v>
          </cell>
          <cell r="G1" t="str">
            <v>数学</v>
          </cell>
          <cell r="H1" t="str">
            <v>英语</v>
          </cell>
          <cell r="I1" t="str">
            <v>物理</v>
          </cell>
          <cell r="J1" t="str">
            <v>化学</v>
          </cell>
          <cell r="K1" t="str">
            <v>政治</v>
          </cell>
          <cell r="L1" t="str">
            <v>历史</v>
          </cell>
          <cell r="M1" t="str">
            <v>地理</v>
          </cell>
          <cell r="N1" t="str">
            <v>生物</v>
          </cell>
          <cell r="O1" t="str">
            <v>总分</v>
          </cell>
          <cell r="P1" t="str">
            <v>语文级排名</v>
          </cell>
          <cell r="Q1" t="str">
            <v>数学级排名</v>
          </cell>
          <cell r="R1" t="str">
            <v>英语级排名</v>
          </cell>
          <cell r="S1" t="str">
            <v>物理级排名</v>
          </cell>
          <cell r="T1" t="str">
            <v>化学级排名</v>
          </cell>
          <cell r="U1" t="str">
            <v>政治级排名</v>
          </cell>
          <cell r="V1" t="str">
            <v>历史级排名</v>
          </cell>
          <cell r="W1" t="str">
            <v>地理级排名</v>
          </cell>
          <cell r="X1" t="str">
            <v>生物级排名</v>
          </cell>
          <cell r="Y1" t="str">
            <v>总分级排名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3"/>
  <sheetViews>
    <sheetView tabSelected="1" workbookViewId="0">
      <selection activeCell="E27" sqref="E27"/>
    </sheetView>
  </sheetViews>
  <sheetFormatPr defaultColWidth="9.23076923076923" defaultRowHeight="16.8"/>
  <sheetData>
    <row r="1" ht="34" spans="1:26">
      <c r="A1" s="24" t="s">
        <v>0</v>
      </c>
      <c r="B1" s="25" t="s">
        <v>1</v>
      </c>
      <c r="C1" s="26" t="s">
        <v>2</v>
      </c>
      <c r="D1" s="27" t="s">
        <v>3</v>
      </c>
      <c r="E1" s="27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47" t="s">
        <v>14</v>
      </c>
      <c r="P1" s="48" t="str">
        <f t="shared" ref="P1:Y1" si="0">F1&amp;"级排名"</f>
        <v>语文级排名</v>
      </c>
      <c r="Q1" s="48" t="str">
        <f t="shared" si="0"/>
        <v>数学级排名</v>
      </c>
      <c r="R1" s="48" t="str">
        <f t="shared" si="0"/>
        <v>英语级排名</v>
      </c>
      <c r="S1" s="48" t="str">
        <f t="shared" si="0"/>
        <v>物理级排名</v>
      </c>
      <c r="T1" s="48" t="str">
        <f t="shared" si="0"/>
        <v>化学级排名</v>
      </c>
      <c r="U1" s="48" t="str">
        <f t="shared" si="0"/>
        <v>政治级排名</v>
      </c>
      <c r="V1" s="48" t="str">
        <f t="shared" si="0"/>
        <v>历史级排名</v>
      </c>
      <c r="W1" s="48" t="str">
        <f t="shared" si="0"/>
        <v>地理级排名</v>
      </c>
      <c r="X1" s="48" t="str">
        <f t="shared" si="0"/>
        <v>生物级排名</v>
      </c>
      <c r="Y1" s="48" t="str">
        <f t="shared" si="0"/>
        <v>总分级排名</v>
      </c>
      <c r="Z1" s="57" t="s">
        <v>15</v>
      </c>
    </row>
    <row r="2" ht="17.6" spans="1:26">
      <c r="A2" s="28">
        <v>1</v>
      </c>
      <c r="B2" s="29" t="s">
        <v>16</v>
      </c>
      <c r="C2" s="30" t="s">
        <v>17</v>
      </c>
      <c r="D2" s="31" t="s">
        <v>18</v>
      </c>
      <c r="E2" s="30" t="s">
        <v>19</v>
      </c>
      <c r="F2" s="41">
        <v>97</v>
      </c>
      <c r="G2" s="41">
        <v>86</v>
      </c>
      <c r="H2" s="41">
        <v>81.3</v>
      </c>
      <c r="I2" s="41">
        <v>67</v>
      </c>
      <c r="J2" s="45">
        <v>68.16666667</v>
      </c>
      <c r="K2" s="42">
        <v>0</v>
      </c>
      <c r="L2" s="42">
        <v>0</v>
      </c>
      <c r="M2" s="42">
        <v>0</v>
      </c>
      <c r="N2" s="45">
        <v>75.58333333</v>
      </c>
      <c r="O2" s="49">
        <f t="shared" ref="O2:O14" si="1">IF(SUM(F2:N2)=0,"缺考",SUM(F2:N2))</f>
        <v>475.05</v>
      </c>
      <c r="P2" s="50">
        <v>227</v>
      </c>
      <c r="Q2" s="50">
        <v>260</v>
      </c>
      <c r="R2" s="50">
        <v>449</v>
      </c>
      <c r="S2" s="50">
        <v>41</v>
      </c>
      <c r="T2" s="50">
        <v>483</v>
      </c>
      <c r="U2" s="52">
        <v>0</v>
      </c>
      <c r="V2" s="52">
        <v>0</v>
      </c>
      <c r="W2" s="52">
        <v>0</v>
      </c>
      <c r="X2" s="50">
        <v>215</v>
      </c>
      <c r="Y2" s="50">
        <v>170</v>
      </c>
      <c r="Z2" s="58">
        <f>(VLOOKUP(C2,[1]说明!$A:$B,2,0)*100+SUMPRODUCT(($C$2:C2=C2)*1))</f>
        <v>101</v>
      </c>
    </row>
    <row r="3" spans="1:26">
      <c r="A3" s="32">
        <v>1</v>
      </c>
      <c r="B3" s="29" t="s">
        <v>16</v>
      </c>
      <c r="C3" s="33" t="s">
        <v>17</v>
      </c>
      <c r="D3" s="34" t="s">
        <v>20</v>
      </c>
      <c r="E3" s="33" t="s">
        <v>21</v>
      </c>
      <c r="F3" s="42">
        <v>86</v>
      </c>
      <c r="G3" s="42">
        <v>105</v>
      </c>
      <c r="H3" s="42">
        <v>75.7</v>
      </c>
      <c r="I3" s="42">
        <v>39</v>
      </c>
      <c r="J3" s="46">
        <v>71.91666667</v>
      </c>
      <c r="K3" s="42">
        <v>0</v>
      </c>
      <c r="L3" s="42">
        <v>0</v>
      </c>
      <c r="M3" s="42">
        <v>0</v>
      </c>
      <c r="N3" s="46">
        <v>58</v>
      </c>
      <c r="O3" s="51">
        <f t="shared" si="1"/>
        <v>435.61666667</v>
      </c>
      <c r="P3" s="52">
        <v>735</v>
      </c>
      <c r="Q3" s="52">
        <v>57</v>
      </c>
      <c r="R3" s="52">
        <v>618</v>
      </c>
      <c r="S3" s="52">
        <v>625</v>
      </c>
      <c r="T3" s="52">
        <v>365</v>
      </c>
      <c r="U3" s="52">
        <v>0</v>
      </c>
      <c r="V3" s="52">
        <v>0</v>
      </c>
      <c r="W3" s="52">
        <v>0</v>
      </c>
      <c r="X3" s="52">
        <v>691</v>
      </c>
      <c r="Y3" s="52">
        <v>422</v>
      </c>
      <c r="Z3" s="54">
        <f>(VLOOKUP(C3,[1]说明!$A:$B,2,0)*100+SUMPRODUCT(($C$2:C3=C3)*1))</f>
        <v>102</v>
      </c>
    </row>
    <row r="4" spans="1:26">
      <c r="A4" s="35">
        <v>1</v>
      </c>
      <c r="B4" s="29" t="s">
        <v>16</v>
      </c>
      <c r="C4" s="30" t="s">
        <v>17</v>
      </c>
      <c r="D4" s="31" t="s">
        <v>22</v>
      </c>
      <c r="E4" s="30" t="s">
        <v>23</v>
      </c>
      <c r="F4" s="41">
        <v>96</v>
      </c>
      <c r="G4" s="41">
        <v>96</v>
      </c>
      <c r="H4" s="41">
        <v>97.2</v>
      </c>
      <c r="I4" s="41">
        <v>36</v>
      </c>
      <c r="J4" s="45">
        <v>59</v>
      </c>
      <c r="K4" s="42">
        <v>0</v>
      </c>
      <c r="L4" s="42">
        <v>0</v>
      </c>
      <c r="M4" s="42">
        <v>0</v>
      </c>
      <c r="N4" s="45">
        <v>77.41666667</v>
      </c>
      <c r="O4" s="49">
        <f t="shared" si="1"/>
        <v>461.61666667</v>
      </c>
      <c r="P4" s="50">
        <v>269</v>
      </c>
      <c r="Q4" s="50">
        <v>132</v>
      </c>
      <c r="R4" s="50">
        <v>106</v>
      </c>
      <c r="S4" s="50">
        <v>704</v>
      </c>
      <c r="T4" s="50">
        <v>763</v>
      </c>
      <c r="U4" s="52">
        <v>0</v>
      </c>
      <c r="V4" s="52">
        <v>0</v>
      </c>
      <c r="W4" s="52">
        <v>0</v>
      </c>
      <c r="X4" s="50">
        <v>176</v>
      </c>
      <c r="Y4" s="50">
        <v>240</v>
      </c>
      <c r="Z4" s="56">
        <f>(VLOOKUP(C4,[1]说明!$A:$B,2,0)*100+SUMPRODUCT(($C$2:C4=C4)*1))</f>
        <v>103</v>
      </c>
    </row>
    <row r="5" spans="1:26">
      <c r="A5" s="32">
        <v>1</v>
      </c>
      <c r="B5" s="29" t="s">
        <v>16</v>
      </c>
      <c r="C5" s="33" t="s">
        <v>17</v>
      </c>
      <c r="D5" s="34" t="s">
        <v>24</v>
      </c>
      <c r="E5" s="33" t="s">
        <v>25</v>
      </c>
      <c r="F5" s="42">
        <v>96</v>
      </c>
      <c r="G5" s="42">
        <v>80</v>
      </c>
      <c r="H5" s="42">
        <v>70</v>
      </c>
      <c r="I5" s="42">
        <v>86</v>
      </c>
      <c r="J5" s="46">
        <v>77.41666667</v>
      </c>
      <c r="K5" s="42">
        <v>0</v>
      </c>
      <c r="L5" s="42">
        <v>0</v>
      </c>
      <c r="M5" s="42">
        <v>0</v>
      </c>
      <c r="N5" s="46">
        <v>80.16666667</v>
      </c>
      <c r="O5" s="51">
        <f t="shared" si="1"/>
        <v>489.58333334</v>
      </c>
      <c r="P5" s="52">
        <v>269</v>
      </c>
      <c r="Q5" s="52">
        <v>346</v>
      </c>
      <c r="R5" s="52">
        <v>767</v>
      </c>
      <c r="S5" s="52">
        <v>1</v>
      </c>
      <c r="T5" s="52">
        <v>196</v>
      </c>
      <c r="U5" s="52">
        <v>0</v>
      </c>
      <c r="V5" s="52">
        <v>0</v>
      </c>
      <c r="W5" s="52">
        <v>0</v>
      </c>
      <c r="X5" s="52">
        <v>125</v>
      </c>
      <c r="Y5" s="52">
        <v>119</v>
      </c>
      <c r="Z5" s="54">
        <f>(VLOOKUP(C5,[1]说明!$A:$B,2,0)*100+SUMPRODUCT(($C$2:C5=C5)*1))</f>
        <v>104</v>
      </c>
    </row>
    <row r="6" spans="1:26">
      <c r="A6" s="35">
        <v>1</v>
      </c>
      <c r="B6" s="29" t="s">
        <v>16</v>
      </c>
      <c r="C6" s="30" t="s">
        <v>17</v>
      </c>
      <c r="D6" s="31" t="s">
        <v>26</v>
      </c>
      <c r="E6" s="30" t="s">
        <v>27</v>
      </c>
      <c r="F6" s="41">
        <v>87</v>
      </c>
      <c r="G6" s="41">
        <v>87</v>
      </c>
      <c r="H6" s="41">
        <v>101.9</v>
      </c>
      <c r="I6" s="41">
        <v>39</v>
      </c>
      <c r="J6" s="45">
        <v>67.25</v>
      </c>
      <c r="K6" s="42">
        <v>0</v>
      </c>
      <c r="L6" s="42">
        <v>0</v>
      </c>
      <c r="M6" s="42">
        <v>0</v>
      </c>
      <c r="N6" s="45">
        <v>60.375</v>
      </c>
      <c r="O6" s="49">
        <f t="shared" si="1"/>
        <v>442.525</v>
      </c>
      <c r="P6" s="50">
        <v>690</v>
      </c>
      <c r="Q6" s="50">
        <v>249</v>
      </c>
      <c r="R6" s="50">
        <v>52</v>
      </c>
      <c r="S6" s="50">
        <v>625</v>
      </c>
      <c r="T6" s="50">
        <v>518</v>
      </c>
      <c r="U6" s="52">
        <v>0</v>
      </c>
      <c r="V6" s="52">
        <v>0</v>
      </c>
      <c r="W6" s="52">
        <v>0</v>
      </c>
      <c r="X6" s="50">
        <v>650</v>
      </c>
      <c r="Y6" s="50">
        <v>368</v>
      </c>
      <c r="Z6" s="56">
        <f>(VLOOKUP(C6,[1]说明!$A:$B,2,0)*100+SUMPRODUCT(($C$2:C6=C6)*1))</f>
        <v>105</v>
      </c>
    </row>
    <row r="7" spans="1:26">
      <c r="A7" s="32">
        <v>1</v>
      </c>
      <c r="B7" s="29" t="s">
        <v>16</v>
      </c>
      <c r="C7" s="33" t="s">
        <v>17</v>
      </c>
      <c r="D7" s="34" t="s">
        <v>28</v>
      </c>
      <c r="E7" s="33" t="s">
        <v>29</v>
      </c>
      <c r="F7" s="42">
        <v>97</v>
      </c>
      <c r="G7" s="42">
        <v>96</v>
      </c>
      <c r="H7" s="42">
        <v>81</v>
      </c>
      <c r="I7" s="42">
        <v>65</v>
      </c>
      <c r="J7" s="46">
        <v>82</v>
      </c>
      <c r="K7" s="42">
        <v>0</v>
      </c>
      <c r="L7" s="42">
        <v>0</v>
      </c>
      <c r="M7" s="42">
        <v>0</v>
      </c>
      <c r="N7" s="46">
        <v>73.75</v>
      </c>
      <c r="O7" s="51">
        <f t="shared" si="1"/>
        <v>494.75</v>
      </c>
      <c r="P7" s="52">
        <v>227</v>
      </c>
      <c r="Q7" s="52">
        <v>132</v>
      </c>
      <c r="R7" s="52">
        <v>458</v>
      </c>
      <c r="S7" s="52">
        <v>52</v>
      </c>
      <c r="T7" s="52">
        <v>100</v>
      </c>
      <c r="U7" s="52">
        <v>0</v>
      </c>
      <c r="V7" s="52">
        <v>0</v>
      </c>
      <c r="W7" s="52">
        <v>0</v>
      </c>
      <c r="X7" s="52">
        <v>263</v>
      </c>
      <c r="Y7" s="52">
        <v>99</v>
      </c>
      <c r="Z7" s="54">
        <f>(VLOOKUP(C7,[1]说明!$A:$B,2,0)*100+SUMPRODUCT(($C$2:C7=C7)*1))</f>
        <v>106</v>
      </c>
    </row>
    <row r="8" spans="1:26">
      <c r="A8" s="35">
        <v>1</v>
      </c>
      <c r="B8" s="29" t="s">
        <v>16</v>
      </c>
      <c r="C8" s="30" t="s">
        <v>17</v>
      </c>
      <c r="D8" s="31" t="s">
        <v>30</v>
      </c>
      <c r="E8" s="30" t="s">
        <v>31</v>
      </c>
      <c r="F8" s="41">
        <v>97</v>
      </c>
      <c r="G8" s="41">
        <v>95</v>
      </c>
      <c r="H8" s="41">
        <v>94.9</v>
      </c>
      <c r="I8" s="41">
        <v>49</v>
      </c>
      <c r="J8" s="45">
        <v>85.57142857</v>
      </c>
      <c r="K8" s="42">
        <v>0</v>
      </c>
      <c r="L8" s="42">
        <v>0</v>
      </c>
      <c r="M8" s="42">
        <v>0</v>
      </c>
      <c r="N8" s="45">
        <v>81.08333333</v>
      </c>
      <c r="O8" s="49">
        <f t="shared" si="1"/>
        <v>502.5547619</v>
      </c>
      <c r="P8" s="50">
        <v>227</v>
      </c>
      <c r="Q8" s="50">
        <v>143</v>
      </c>
      <c r="R8" s="50">
        <v>135</v>
      </c>
      <c r="S8" s="50">
        <v>337</v>
      </c>
      <c r="T8" s="50">
        <v>37</v>
      </c>
      <c r="U8" s="52">
        <v>0</v>
      </c>
      <c r="V8" s="52">
        <v>0</v>
      </c>
      <c r="W8" s="52">
        <v>0</v>
      </c>
      <c r="X8" s="50">
        <v>104</v>
      </c>
      <c r="Y8" s="50">
        <v>76</v>
      </c>
      <c r="Z8" s="56">
        <f>(VLOOKUP(C8,[1]说明!$A:$B,2,0)*100+SUMPRODUCT(($C$2:C8=C8)*1))</f>
        <v>107</v>
      </c>
    </row>
    <row r="9" spans="1:26">
      <c r="A9" s="32">
        <v>1</v>
      </c>
      <c r="B9" s="29" t="s">
        <v>16</v>
      </c>
      <c r="C9" s="33" t="s">
        <v>17</v>
      </c>
      <c r="D9" s="34" t="s">
        <v>32</v>
      </c>
      <c r="E9" s="33" t="s">
        <v>33</v>
      </c>
      <c r="F9" s="42">
        <v>95</v>
      </c>
      <c r="G9" s="42">
        <v>87</v>
      </c>
      <c r="H9" s="42">
        <v>80.6</v>
      </c>
      <c r="I9" s="42">
        <v>46</v>
      </c>
      <c r="J9" s="46">
        <v>61.75</v>
      </c>
      <c r="K9" s="42">
        <v>0</v>
      </c>
      <c r="L9" s="42">
        <v>0</v>
      </c>
      <c r="M9" s="42">
        <v>0</v>
      </c>
      <c r="N9" s="46">
        <v>71</v>
      </c>
      <c r="O9" s="51">
        <f t="shared" si="1"/>
        <v>441.35</v>
      </c>
      <c r="P9" s="52">
        <v>312</v>
      </c>
      <c r="Q9" s="52">
        <v>249</v>
      </c>
      <c r="R9" s="52">
        <v>468</v>
      </c>
      <c r="S9" s="52">
        <v>416</v>
      </c>
      <c r="T9" s="52">
        <v>684</v>
      </c>
      <c r="U9" s="52">
        <v>0</v>
      </c>
      <c r="V9" s="52">
        <v>0</v>
      </c>
      <c r="W9" s="52">
        <v>0</v>
      </c>
      <c r="X9" s="52">
        <v>335</v>
      </c>
      <c r="Y9" s="52">
        <v>381</v>
      </c>
      <c r="Z9" s="54">
        <f>(VLOOKUP(C9,[1]说明!$A:$B,2,0)*100+SUMPRODUCT(($C$2:C9=C9)*1))</f>
        <v>108</v>
      </c>
    </row>
    <row r="10" spans="1:26">
      <c r="A10" s="35">
        <v>1</v>
      </c>
      <c r="B10" s="29" t="s">
        <v>16</v>
      </c>
      <c r="C10" s="30" t="s">
        <v>17</v>
      </c>
      <c r="D10" s="31" t="s">
        <v>34</v>
      </c>
      <c r="E10" s="30" t="s">
        <v>35</v>
      </c>
      <c r="F10" s="41">
        <v>105</v>
      </c>
      <c r="G10" s="41">
        <v>103</v>
      </c>
      <c r="H10" s="41">
        <v>80.1</v>
      </c>
      <c r="I10" s="41">
        <v>55</v>
      </c>
      <c r="J10" s="45">
        <v>86.85714286</v>
      </c>
      <c r="K10" s="42">
        <v>0</v>
      </c>
      <c r="L10" s="42">
        <v>0</v>
      </c>
      <c r="M10" s="42">
        <v>0</v>
      </c>
      <c r="N10" s="45">
        <v>85</v>
      </c>
      <c r="O10" s="49">
        <f t="shared" si="1"/>
        <v>514.95714286</v>
      </c>
      <c r="P10" s="50">
        <v>37</v>
      </c>
      <c r="Q10" s="50">
        <v>69</v>
      </c>
      <c r="R10" s="50">
        <v>480</v>
      </c>
      <c r="S10" s="50">
        <v>194</v>
      </c>
      <c r="T10" s="50">
        <v>24</v>
      </c>
      <c r="U10" s="52">
        <v>0</v>
      </c>
      <c r="V10" s="52">
        <v>0</v>
      </c>
      <c r="W10" s="52">
        <v>0</v>
      </c>
      <c r="X10" s="50">
        <v>39</v>
      </c>
      <c r="Y10" s="50">
        <v>44</v>
      </c>
      <c r="Z10" s="56">
        <f>(VLOOKUP(C10,[1]说明!$A:$B,2,0)*100+SUMPRODUCT(($C$2:C10=C10)*1))</f>
        <v>109</v>
      </c>
    </row>
    <row r="11" spans="1:26">
      <c r="A11" s="32">
        <v>1</v>
      </c>
      <c r="B11" s="29" t="s">
        <v>16</v>
      </c>
      <c r="C11" s="33" t="s">
        <v>17</v>
      </c>
      <c r="D11" s="34" t="s">
        <v>36</v>
      </c>
      <c r="E11" s="33" t="s">
        <v>37</v>
      </c>
      <c r="F11" s="42">
        <v>87</v>
      </c>
      <c r="G11" s="42">
        <v>69</v>
      </c>
      <c r="H11" s="42">
        <v>79</v>
      </c>
      <c r="I11" s="42">
        <v>40</v>
      </c>
      <c r="J11" s="46">
        <v>75.58333333</v>
      </c>
      <c r="K11" s="42">
        <v>0</v>
      </c>
      <c r="L11" s="42">
        <v>0</v>
      </c>
      <c r="M11" s="42">
        <v>0</v>
      </c>
      <c r="N11" s="46">
        <v>77.41666667</v>
      </c>
      <c r="O11" s="51">
        <f t="shared" si="1"/>
        <v>428</v>
      </c>
      <c r="P11" s="52">
        <v>690</v>
      </c>
      <c r="Q11" s="52">
        <v>528</v>
      </c>
      <c r="R11" s="52">
        <v>513</v>
      </c>
      <c r="S11" s="52">
        <v>595</v>
      </c>
      <c r="T11" s="52">
        <v>237</v>
      </c>
      <c r="U11" s="52">
        <v>0</v>
      </c>
      <c r="V11" s="52">
        <v>0</v>
      </c>
      <c r="W11" s="52">
        <v>0</v>
      </c>
      <c r="X11" s="52">
        <v>176</v>
      </c>
      <c r="Y11" s="52">
        <v>476</v>
      </c>
      <c r="Z11" s="54">
        <f>(VLOOKUP(C11,[1]说明!$A:$B,2,0)*100+SUMPRODUCT(($C$2:C11=C11)*1))</f>
        <v>110</v>
      </c>
    </row>
    <row r="12" spans="1:26">
      <c r="A12" s="35">
        <v>1</v>
      </c>
      <c r="B12" s="29" t="s">
        <v>16</v>
      </c>
      <c r="C12" s="30" t="s">
        <v>17</v>
      </c>
      <c r="D12" s="31" t="s">
        <v>38</v>
      </c>
      <c r="E12" s="30" t="s">
        <v>39</v>
      </c>
      <c r="F12" s="41">
        <v>92</v>
      </c>
      <c r="G12" s="41">
        <v>53</v>
      </c>
      <c r="H12" s="41">
        <v>81</v>
      </c>
      <c r="I12" s="41">
        <v>55</v>
      </c>
      <c r="J12" s="45">
        <v>76.5</v>
      </c>
      <c r="K12" s="42">
        <v>0</v>
      </c>
      <c r="L12" s="42">
        <v>0</v>
      </c>
      <c r="M12" s="42">
        <v>0</v>
      </c>
      <c r="N12" s="45">
        <v>85</v>
      </c>
      <c r="O12" s="49">
        <f t="shared" si="1"/>
        <v>442.5</v>
      </c>
      <c r="P12" s="50">
        <v>465</v>
      </c>
      <c r="Q12" s="50">
        <v>770</v>
      </c>
      <c r="R12" s="50">
        <v>458</v>
      </c>
      <c r="S12" s="50">
        <v>194</v>
      </c>
      <c r="T12" s="50">
        <v>214</v>
      </c>
      <c r="U12" s="52">
        <v>0</v>
      </c>
      <c r="V12" s="52">
        <v>0</v>
      </c>
      <c r="W12" s="52">
        <v>0</v>
      </c>
      <c r="X12" s="50">
        <v>39</v>
      </c>
      <c r="Y12" s="50">
        <v>369</v>
      </c>
      <c r="Z12" s="56">
        <f>(VLOOKUP(C12,[1]说明!$A:$B,2,0)*100+SUMPRODUCT(($C$2:C12=C12)*1))</f>
        <v>111</v>
      </c>
    </row>
    <row r="13" spans="1:26">
      <c r="A13" s="32">
        <v>1</v>
      </c>
      <c r="B13" s="29" t="s">
        <v>16</v>
      </c>
      <c r="C13" s="33" t="s">
        <v>17</v>
      </c>
      <c r="D13" s="34" t="s">
        <v>40</v>
      </c>
      <c r="E13" s="33" t="s">
        <v>41</v>
      </c>
      <c r="F13" s="42">
        <v>107</v>
      </c>
      <c r="G13" s="42">
        <v>52</v>
      </c>
      <c r="H13" s="42">
        <v>101.9</v>
      </c>
      <c r="I13" s="42">
        <v>36</v>
      </c>
      <c r="J13" s="46">
        <v>56.45454545</v>
      </c>
      <c r="K13" s="42">
        <v>0</v>
      </c>
      <c r="L13" s="42">
        <v>0</v>
      </c>
      <c r="M13" s="42">
        <v>0</v>
      </c>
      <c r="N13" s="46">
        <v>71.91666667</v>
      </c>
      <c r="O13" s="51">
        <f t="shared" si="1"/>
        <v>425.27121212</v>
      </c>
      <c r="P13" s="52">
        <v>14</v>
      </c>
      <c r="Q13" s="52">
        <v>787</v>
      </c>
      <c r="R13" s="52">
        <v>52</v>
      </c>
      <c r="S13" s="52">
        <v>704</v>
      </c>
      <c r="T13" s="52">
        <v>811</v>
      </c>
      <c r="U13" s="52">
        <v>0</v>
      </c>
      <c r="V13" s="52">
        <v>0</v>
      </c>
      <c r="W13" s="52">
        <v>0</v>
      </c>
      <c r="X13" s="52">
        <v>308</v>
      </c>
      <c r="Y13" s="52">
        <v>491</v>
      </c>
      <c r="Z13" s="54">
        <f>(VLOOKUP(C13,[1]说明!$A:$B,2,0)*100+SUMPRODUCT(($C$2:C13=C13)*1))</f>
        <v>112</v>
      </c>
    </row>
    <row r="14" spans="1:26">
      <c r="A14" s="35">
        <v>1</v>
      </c>
      <c r="B14" s="36" t="s">
        <v>16</v>
      </c>
      <c r="C14" s="30" t="s">
        <v>17</v>
      </c>
      <c r="D14" s="31" t="s">
        <v>42</v>
      </c>
      <c r="E14" s="30" t="s">
        <v>43</v>
      </c>
      <c r="F14" s="41">
        <v>81</v>
      </c>
      <c r="G14" s="41">
        <v>102</v>
      </c>
      <c r="H14" s="41">
        <v>81.3</v>
      </c>
      <c r="I14" s="41">
        <v>51</v>
      </c>
      <c r="J14" s="45">
        <v>84.71428571</v>
      </c>
      <c r="K14" s="42">
        <v>0</v>
      </c>
      <c r="L14" s="42">
        <v>0</v>
      </c>
      <c r="M14" s="42">
        <v>0</v>
      </c>
      <c r="N14" s="45">
        <v>77.41666667</v>
      </c>
      <c r="O14" s="49">
        <f t="shared" si="1"/>
        <v>477.43095238</v>
      </c>
      <c r="P14" s="50">
        <v>877</v>
      </c>
      <c r="Q14" s="50">
        <v>76</v>
      </c>
      <c r="R14" s="50">
        <v>449</v>
      </c>
      <c r="S14" s="50">
        <v>293</v>
      </c>
      <c r="T14" s="50">
        <v>49</v>
      </c>
      <c r="U14" s="52">
        <v>0</v>
      </c>
      <c r="V14" s="52">
        <v>0</v>
      </c>
      <c r="W14" s="52">
        <v>0</v>
      </c>
      <c r="X14" s="50">
        <v>176</v>
      </c>
      <c r="Y14" s="50">
        <v>161</v>
      </c>
      <c r="Z14" s="56">
        <f>(VLOOKUP(C14,[1]说明!$A:$B,2,0)*100+SUMPRODUCT(($C$2:C14=C14)*1))</f>
        <v>113</v>
      </c>
    </row>
    <row r="15" spans="1:26">
      <c r="A15" s="32">
        <v>1</v>
      </c>
      <c r="B15" s="37"/>
      <c r="C15" s="38"/>
      <c r="D15" s="39"/>
      <c r="E15" s="30"/>
      <c r="F15" s="41"/>
      <c r="G15" s="41"/>
      <c r="H15" s="41"/>
      <c r="I15" s="41"/>
      <c r="J15" s="45"/>
      <c r="K15" s="37"/>
      <c r="L15" s="37"/>
      <c r="M15" s="37"/>
      <c r="N15" s="45"/>
      <c r="O15" s="53"/>
      <c r="P15" s="54"/>
      <c r="Q15" s="54"/>
      <c r="R15" s="54"/>
      <c r="S15" s="54"/>
      <c r="T15" s="54"/>
      <c r="U15" s="56"/>
      <c r="V15" s="56"/>
      <c r="W15" s="56"/>
      <c r="X15" s="54"/>
      <c r="Y15" s="54"/>
      <c r="Z15" s="54">
        <f>(VLOOKUP(C15,[1]说明!$A:$B,2,0)*100+SUMPRODUCT(($C$2:C15=C15)*1))</f>
        <v>201</v>
      </c>
    </row>
    <row r="16" spans="1:26">
      <c r="A16" s="35">
        <v>1</v>
      </c>
      <c r="B16" s="37"/>
      <c r="C16" s="38"/>
      <c r="D16" s="40"/>
      <c r="E16" s="33"/>
      <c r="F16" s="42"/>
      <c r="G16" s="42"/>
      <c r="H16" s="42"/>
      <c r="I16" s="42"/>
      <c r="J16" s="46"/>
      <c r="K16" s="37"/>
      <c r="L16" s="37"/>
      <c r="M16" s="37"/>
      <c r="N16" s="46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>
        <f>(VLOOKUP(C16,[1]说明!$A:$B,2,0)*100+SUMPRODUCT(($C$2:C16=C16)*1))</f>
        <v>202</v>
      </c>
    </row>
    <row r="17" spans="1:26">
      <c r="A17" s="32">
        <v>1</v>
      </c>
      <c r="B17" s="37"/>
      <c r="C17" s="38"/>
      <c r="D17" s="39"/>
      <c r="E17" s="30"/>
      <c r="F17" s="41"/>
      <c r="G17" s="41"/>
      <c r="H17" s="41"/>
      <c r="I17" s="41"/>
      <c r="J17" s="45"/>
      <c r="K17" s="37"/>
      <c r="L17" s="37"/>
      <c r="M17" s="37"/>
      <c r="N17" s="45"/>
      <c r="O17" s="53"/>
      <c r="P17" s="54"/>
      <c r="Q17" s="54"/>
      <c r="R17" s="54"/>
      <c r="S17" s="54"/>
      <c r="T17" s="54"/>
      <c r="U17" s="56"/>
      <c r="V17" s="56"/>
      <c r="W17" s="56"/>
      <c r="X17" s="54"/>
      <c r="Y17" s="54"/>
      <c r="Z17" s="54">
        <f>(VLOOKUP(C17,[1]说明!$A:$B,2,0)*100+SUMPRODUCT(($C$2:C17=C17)*1))</f>
        <v>203</v>
      </c>
    </row>
    <row r="18" spans="1:26">
      <c r="A18" s="35">
        <v>1</v>
      </c>
      <c r="B18" s="37"/>
      <c r="C18" s="38"/>
      <c r="D18" s="40"/>
      <c r="E18" s="33"/>
      <c r="F18" s="42"/>
      <c r="G18" s="42"/>
      <c r="H18" s="42"/>
      <c r="I18" s="42"/>
      <c r="J18" s="46"/>
      <c r="K18" s="37"/>
      <c r="L18" s="37"/>
      <c r="M18" s="37"/>
      <c r="N18" s="46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>
        <f>(VLOOKUP(C18,[1]说明!$A:$B,2,0)*100+SUMPRODUCT(($C$2:C18=C18)*1))</f>
        <v>204</v>
      </c>
    </row>
    <row r="19" spans="1:26">
      <c r="A19" s="32">
        <v>1</v>
      </c>
      <c r="B19" s="37"/>
      <c r="C19" s="38"/>
      <c r="D19" s="39"/>
      <c r="E19" s="30"/>
      <c r="F19" s="41"/>
      <c r="G19" s="41"/>
      <c r="H19" s="41"/>
      <c r="I19" s="41"/>
      <c r="J19" s="45"/>
      <c r="K19" s="37"/>
      <c r="L19" s="37"/>
      <c r="M19" s="37"/>
      <c r="N19" s="45"/>
      <c r="O19" s="53"/>
      <c r="P19" s="54"/>
      <c r="Q19" s="54"/>
      <c r="R19" s="54"/>
      <c r="S19" s="54"/>
      <c r="T19" s="54"/>
      <c r="U19" s="56"/>
      <c r="V19" s="56"/>
      <c r="W19" s="56"/>
      <c r="X19" s="54"/>
      <c r="Y19" s="54"/>
      <c r="Z19" s="54">
        <f>(VLOOKUP(C19,[1]说明!$A:$B,2,0)*100+SUMPRODUCT(($C$2:C19=C19)*1))</f>
        <v>205</v>
      </c>
    </row>
    <row r="20" spans="1:26">
      <c r="A20" s="35">
        <v>1</v>
      </c>
      <c r="B20" s="37"/>
      <c r="C20" s="38"/>
      <c r="D20" s="40"/>
      <c r="E20" s="33"/>
      <c r="F20" s="42"/>
      <c r="G20" s="42"/>
      <c r="H20" s="42"/>
      <c r="I20" s="42"/>
      <c r="J20" s="46"/>
      <c r="K20" s="37"/>
      <c r="L20" s="37"/>
      <c r="M20" s="37"/>
      <c r="N20" s="46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>
        <f>(VLOOKUP(C20,[1]说明!$A:$B,2,0)*100+SUMPRODUCT(($C$2:C20=C20)*1))</f>
        <v>206</v>
      </c>
    </row>
    <row r="21" spans="1:26">
      <c r="A21" s="32">
        <v>1</v>
      </c>
      <c r="B21" s="37"/>
      <c r="C21" s="38"/>
      <c r="D21" s="39"/>
      <c r="E21" s="30"/>
      <c r="F21" s="41"/>
      <c r="G21" s="41"/>
      <c r="H21" s="41"/>
      <c r="I21" s="41"/>
      <c r="J21" s="45"/>
      <c r="K21" s="37"/>
      <c r="L21" s="37"/>
      <c r="M21" s="37"/>
      <c r="N21" s="45"/>
      <c r="O21" s="53"/>
      <c r="P21" s="54"/>
      <c r="Q21" s="54"/>
      <c r="R21" s="54"/>
      <c r="S21" s="54"/>
      <c r="T21" s="54"/>
      <c r="U21" s="56"/>
      <c r="V21" s="56"/>
      <c r="W21" s="56"/>
      <c r="X21" s="54"/>
      <c r="Y21" s="54"/>
      <c r="Z21" s="54">
        <f>(VLOOKUP(C21,[1]说明!$A:$B,2,0)*100+SUMPRODUCT(($C$2:C21=C21)*1))</f>
        <v>207</v>
      </c>
    </row>
    <row r="22" spans="1:26">
      <c r="A22" s="35">
        <v>1</v>
      </c>
      <c r="B22" s="37"/>
      <c r="C22" s="38"/>
      <c r="D22" s="40"/>
      <c r="E22" s="33"/>
      <c r="F22" s="42"/>
      <c r="G22" s="42"/>
      <c r="H22" s="42"/>
      <c r="I22" s="42"/>
      <c r="J22" s="46"/>
      <c r="K22" s="37"/>
      <c r="L22" s="37"/>
      <c r="M22" s="37"/>
      <c r="N22" s="46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>
        <f>(VLOOKUP(C22,[1]说明!$A:$B,2,0)*100+SUMPRODUCT(($C$2:C22=C22)*1))</f>
        <v>208</v>
      </c>
    </row>
    <row r="23" spans="1:26">
      <c r="A23" s="32">
        <v>1</v>
      </c>
      <c r="B23" s="37"/>
      <c r="C23" s="38"/>
      <c r="D23" s="39"/>
      <c r="E23" s="30"/>
      <c r="F23" s="41"/>
      <c r="G23" s="41"/>
      <c r="H23" s="41"/>
      <c r="I23" s="41"/>
      <c r="J23" s="45"/>
      <c r="K23" s="37"/>
      <c r="L23" s="37"/>
      <c r="M23" s="37"/>
      <c r="N23" s="45"/>
      <c r="O23" s="53"/>
      <c r="P23" s="54"/>
      <c r="Q23" s="54"/>
      <c r="R23" s="54"/>
      <c r="S23" s="54"/>
      <c r="T23" s="54"/>
      <c r="U23" s="56"/>
      <c r="V23" s="56"/>
      <c r="W23" s="56"/>
      <c r="X23" s="54"/>
      <c r="Y23" s="54"/>
      <c r="Z23" s="54">
        <f>(VLOOKUP(C23,[1]说明!$A:$B,2,0)*100+SUMPRODUCT(($C$2:C23=C23)*1))</f>
        <v>209</v>
      </c>
    </row>
    <row r="24" spans="1:26">
      <c r="A24" s="35">
        <v>1</v>
      </c>
      <c r="B24" s="37"/>
      <c r="C24" s="38"/>
      <c r="D24" s="40"/>
      <c r="E24" s="33"/>
      <c r="F24" s="42"/>
      <c r="G24" s="42"/>
      <c r="H24" s="42"/>
      <c r="I24" s="42"/>
      <c r="J24" s="46"/>
      <c r="K24" s="37"/>
      <c r="L24" s="37"/>
      <c r="M24" s="37"/>
      <c r="N24" s="46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>
        <f>(VLOOKUP(C24,[1]说明!$A:$B,2,0)*100+SUMPRODUCT(($C$2:C24=C24)*1))</f>
        <v>210</v>
      </c>
    </row>
    <row r="25" spans="1:26">
      <c r="A25" s="32">
        <v>1</v>
      </c>
      <c r="B25" s="37"/>
      <c r="C25" s="38"/>
      <c r="D25" s="39"/>
      <c r="E25" s="30"/>
      <c r="F25" s="41"/>
      <c r="G25" s="41"/>
      <c r="H25" s="41"/>
      <c r="I25" s="41"/>
      <c r="J25" s="45"/>
      <c r="K25" s="37"/>
      <c r="L25" s="37"/>
      <c r="M25" s="37"/>
      <c r="N25" s="45"/>
      <c r="O25" s="53"/>
      <c r="P25" s="54"/>
      <c r="Q25" s="54"/>
      <c r="R25" s="54"/>
      <c r="S25" s="54"/>
      <c r="T25" s="54"/>
      <c r="U25" s="56"/>
      <c r="V25" s="56"/>
      <c r="W25" s="56"/>
      <c r="X25" s="54"/>
      <c r="Y25" s="54"/>
      <c r="Z25" s="54">
        <f>(VLOOKUP(C25,[1]说明!$A:$B,2,0)*100+SUMPRODUCT(($C$2:C25=C25)*1))</f>
        <v>211</v>
      </c>
    </row>
    <row r="26" spans="1:26">
      <c r="A26" s="35">
        <v>1</v>
      </c>
      <c r="B26" s="37"/>
      <c r="C26" s="38"/>
      <c r="D26" s="40"/>
      <c r="E26" s="33"/>
      <c r="F26" s="42"/>
      <c r="G26" s="42"/>
      <c r="H26" s="42"/>
      <c r="I26" s="42"/>
      <c r="J26" s="46"/>
      <c r="K26" s="37"/>
      <c r="L26" s="37"/>
      <c r="M26" s="37"/>
      <c r="N26" s="46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>
        <f>(VLOOKUP(C26,[1]说明!$A:$B,2,0)*100+SUMPRODUCT(($C$2:C26=C26)*1))</f>
        <v>212</v>
      </c>
    </row>
    <row r="27" spans="1:26">
      <c r="A27" s="32">
        <v>1</v>
      </c>
      <c r="B27" s="37"/>
      <c r="C27" s="38"/>
      <c r="D27" s="39"/>
      <c r="E27" s="30"/>
      <c r="F27" s="41"/>
      <c r="G27" s="41"/>
      <c r="H27" s="41"/>
      <c r="I27" s="41"/>
      <c r="J27" s="45"/>
      <c r="K27" s="37"/>
      <c r="L27" s="37"/>
      <c r="M27" s="37"/>
      <c r="N27" s="45"/>
      <c r="O27" s="53"/>
      <c r="P27" s="54"/>
      <c r="Q27" s="54"/>
      <c r="R27" s="54"/>
      <c r="S27" s="54"/>
      <c r="T27" s="54"/>
      <c r="U27" s="56"/>
      <c r="V27" s="56"/>
      <c r="W27" s="56"/>
      <c r="X27" s="54"/>
      <c r="Y27" s="54"/>
      <c r="Z27" s="54">
        <f>(VLOOKUP(C27,[1]说明!$A:$B,2,0)*100+SUMPRODUCT(($C$2:C27=C27)*1))</f>
        <v>213</v>
      </c>
    </row>
    <row r="28" spans="1:26">
      <c r="A28" s="35">
        <v>1</v>
      </c>
      <c r="B28" s="37"/>
      <c r="C28" s="38"/>
      <c r="D28" s="40"/>
      <c r="E28" s="33"/>
      <c r="F28" s="42"/>
      <c r="G28" s="42"/>
      <c r="H28" s="42"/>
      <c r="I28" s="42"/>
      <c r="J28" s="46"/>
      <c r="K28" s="37"/>
      <c r="L28" s="37"/>
      <c r="M28" s="37"/>
      <c r="N28" s="46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>
        <f>(VLOOKUP(C28,[1]说明!$A:$B,2,0)*100+SUMPRODUCT(($C$2:C28=C28)*1))</f>
        <v>214</v>
      </c>
    </row>
    <row r="29" spans="1:26">
      <c r="A29" s="32">
        <v>1</v>
      </c>
      <c r="B29" s="37"/>
      <c r="C29" s="38"/>
      <c r="D29" s="39"/>
      <c r="E29" s="30"/>
      <c r="F29" s="41"/>
      <c r="G29" s="41"/>
      <c r="H29" s="41"/>
      <c r="I29" s="41"/>
      <c r="J29" s="45"/>
      <c r="K29" s="37"/>
      <c r="L29" s="37"/>
      <c r="M29" s="37"/>
      <c r="N29" s="45"/>
      <c r="O29" s="53"/>
      <c r="P29" s="54"/>
      <c r="Q29" s="54"/>
      <c r="R29" s="54"/>
      <c r="S29" s="54"/>
      <c r="T29" s="54"/>
      <c r="U29" s="56"/>
      <c r="V29" s="56"/>
      <c r="W29" s="56"/>
      <c r="X29" s="54"/>
      <c r="Y29" s="54"/>
      <c r="Z29" s="54">
        <f>(VLOOKUP(C29,[1]说明!$A:$B,2,0)*100+SUMPRODUCT(($C$2:C29=C29)*1))</f>
        <v>215</v>
      </c>
    </row>
    <row r="30" spans="1:26">
      <c r="A30" s="35">
        <v>1</v>
      </c>
      <c r="B30" s="37"/>
      <c r="C30" s="38"/>
      <c r="D30" s="40"/>
      <c r="E30" s="33"/>
      <c r="F30" s="42"/>
      <c r="G30" s="42"/>
      <c r="H30" s="42"/>
      <c r="I30" s="42"/>
      <c r="J30" s="46"/>
      <c r="K30" s="37"/>
      <c r="L30" s="37"/>
      <c r="M30" s="37"/>
      <c r="N30" s="46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>
        <f>(VLOOKUP(C30,[1]说明!$A:$B,2,0)*100+SUMPRODUCT(($C$2:C30=C30)*1))</f>
        <v>216</v>
      </c>
    </row>
    <row r="31" spans="1:26">
      <c r="A31" s="32">
        <v>1</v>
      </c>
      <c r="B31" s="37"/>
      <c r="C31" s="38"/>
      <c r="D31" s="39"/>
      <c r="E31" s="30"/>
      <c r="F31" s="41"/>
      <c r="G31" s="41"/>
      <c r="H31" s="41"/>
      <c r="I31" s="41"/>
      <c r="J31" s="45"/>
      <c r="K31" s="37"/>
      <c r="L31" s="37"/>
      <c r="M31" s="37"/>
      <c r="N31" s="45"/>
      <c r="O31" s="53"/>
      <c r="P31" s="54"/>
      <c r="Q31" s="54"/>
      <c r="R31" s="54"/>
      <c r="S31" s="54"/>
      <c r="T31" s="54"/>
      <c r="U31" s="56"/>
      <c r="V31" s="56"/>
      <c r="W31" s="56"/>
      <c r="X31" s="54"/>
      <c r="Y31" s="54"/>
      <c r="Z31" s="54">
        <f>(VLOOKUP(C31,[1]说明!$A:$B,2,0)*100+SUMPRODUCT(($C$2:C31=C31)*1))</f>
        <v>217</v>
      </c>
    </row>
    <row r="32" spans="1:26">
      <c r="A32" s="35">
        <v>1</v>
      </c>
      <c r="B32" s="37"/>
      <c r="C32" s="38"/>
      <c r="D32" s="40"/>
      <c r="E32" s="33"/>
      <c r="F32" s="42"/>
      <c r="G32" s="42"/>
      <c r="H32" s="42"/>
      <c r="I32" s="42"/>
      <c r="J32" s="46"/>
      <c r="K32" s="37"/>
      <c r="L32" s="37"/>
      <c r="M32" s="37"/>
      <c r="N32" s="46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>
        <f>(VLOOKUP(C32,[1]说明!$A:$B,2,0)*100+SUMPRODUCT(($C$2:C32=C32)*1))</f>
        <v>218</v>
      </c>
    </row>
    <row r="33" spans="1:26">
      <c r="A33" s="32">
        <v>1</v>
      </c>
      <c r="B33" s="37"/>
      <c r="C33" s="38"/>
      <c r="D33" s="39"/>
      <c r="E33" s="30"/>
      <c r="F33" s="41"/>
      <c r="G33" s="41"/>
      <c r="H33" s="41"/>
      <c r="I33" s="41"/>
      <c r="J33" s="45"/>
      <c r="K33" s="37"/>
      <c r="L33" s="37"/>
      <c r="M33" s="37"/>
      <c r="N33" s="45"/>
      <c r="O33" s="53"/>
      <c r="P33" s="54"/>
      <c r="Q33" s="54"/>
      <c r="R33" s="54"/>
      <c r="S33" s="54"/>
      <c r="T33" s="54"/>
      <c r="U33" s="56"/>
      <c r="V33" s="56"/>
      <c r="W33" s="56"/>
      <c r="X33" s="54"/>
      <c r="Y33" s="54"/>
      <c r="Z33" s="54">
        <f>(VLOOKUP(C33,[1]说明!$A:$B,2,0)*100+SUMPRODUCT(($C$2:C33=C33)*1))</f>
        <v>219</v>
      </c>
    </row>
    <row r="34" spans="1:26">
      <c r="A34" s="35">
        <v>1</v>
      </c>
      <c r="B34" s="37"/>
      <c r="C34" s="38"/>
      <c r="D34" s="40"/>
      <c r="E34" s="33"/>
      <c r="F34" s="42"/>
      <c r="G34" s="42"/>
      <c r="H34" s="42"/>
      <c r="I34" s="42"/>
      <c r="J34" s="46"/>
      <c r="K34" s="37"/>
      <c r="L34" s="37"/>
      <c r="M34" s="37"/>
      <c r="N34" s="46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>
        <f>(VLOOKUP(C34,[1]说明!$A:$B,2,0)*100+SUMPRODUCT(($C$2:C34=C34)*1))</f>
        <v>220</v>
      </c>
    </row>
    <row r="35" spans="1:26">
      <c r="A35" s="32">
        <v>1</v>
      </c>
      <c r="B35" s="37"/>
      <c r="C35" s="38"/>
      <c r="D35" s="39"/>
      <c r="E35" s="30"/>
      <c r="F35" s="41"/>
      <c r="G35" s="41"/>
      <c r="H35" s="41"/>
      <c r="I35" s="41"/>
      <c r="J35" s="45"/>
      <c r="K35" s="37"/>
      <c r="L35" s="37"/>
      <c r="M35" s="37"/>
      <c r="N35" s="45"/>
      <c r="O35" s="53"/>
      <c r="P35" s="54"/>
      <c r="Q35" s="54"/>
      <c r="R35" s="54"/>
      <c r="S35" s="54"/>
      <c r="T35" s="54"/>
      <c r="U35" s="56"/>
      <c r="V35" s="56"/>
      <c r="W35" s="56"/>
      <c r="X35" s="54"/>
      <c r="Y35" s="54"/>
      <c r="Z35" s="54">
        <f>(VLOOKUP(C35,[1]说明!$A:$B,2,0)*100+SUMPRODUCT(($C$2:C35=C35)*1))</f>
        <v>221</v>
      </c>
    </row>
    <row r="36" spans="1:26">
      <c r="A36" s="35">
        <v>1</v>
      </c>
      <c r="B36" s="37"/>
      <c r="C36" s="38"/>
      <c r="D36" s="40"/>
      <c r="E36" s="33"/>
      <c r="F36" s="42"/>
      <c r="G36" s="42"/>
      <c r="H36" s="42"/>
      <c r="I36" s="42"/>
      <c r="J36" s="46"/>
      <c r="K36" s="37"/>
      <c r="L36" s="37"/>
      <c r="M36" s="37"/>
      <c r="N36" s="46"/>
      <c r="O36" s="55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>
        <f>(VLOOKUP(C36,[1]说明!$A:$B,2,0)*100+SUMPRODUCT(($C$2:C36=C36)*1))</f>
        <v>222</v>
      </c>
    </row>
    <row r="37" spans="1:26">
      <c r="A37" s="32">
        <v>1</v>
      </c>
      <c r="B37" s="37"/>
      <c r="C37" s="38"/>
      <c r="D37" s="39"/>
      <c r="E37" s="30"/>
      <c r="F37" s="41"/>
      <c r="G37" s="41"/>
      <c r="H37" s="41"/>
      <c r="I37" s="41"/>
      <c r="J37" s="45"/>
      <c r="K37" s="37"/>
      <c r="L37" s="37"/>
      <c r="M37" s="37"/>
      <c r="N37" s="45"/>
      <c r="O37" s="53"/>
      <c r="P37" s="54"/>
      <c r="Q37" s="54"/>
      <c r="R37" s="54"/>
      <c r="S37" s="54"/>
      <c r="T37" s="54"/>
      <c r="U37" s="56"/>
      <c r="V37" s="56"/>
      <c r="W37" s="56"/>
      <c r="X37" s="54"/>
      <c r="Y37" s="54"/>
      <c r="Z37" s="54">
        <f>(VLOOKUP(C37,[1]说明!$A:$B,2,0)*100+SUMPRODUCT(($C$2:C37=C37)*1))</f>
        <v>223</v>
      </c>
    </row>
    <row r="38" spans="1:26">
      <c r="A38" s="35">
        <v>1</v>
      </c>
      <c r="B38" s="37"/>
      <c r="C38" s="38"/>
      <c r="D38" s="40"/>
      <c r="E38" s="33"/>
      <c r="F38" s="42"/>
      <c r="G38" s="42"/>
      <c r="H38" s="42"/>
      <c r="I38" s="42"/>
      <c r="J38" s="46"/>
      <c r="K38" s="37"/>
      <c r="L38" s="37"/>
      <c r="M38" s="37"/>
      <c r="N38" s="46"/>
      <c r="O38" s="55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>
        <f>(VLOOKUP(C38,[1]说明!$A:$B,2,0)*100+SUMPRODUCT(($C$2:C38=C38)*1))</f>
        <v>224</v>
      </c>
    </row>
    <row r="39" spans="1:26">
      <c r="A39" s="32">
        <v>1</v>
      </c>
      <c r="B39" s="37"/>
      <c r="C39" s="38"/>
      <c r="D39" s="39"/>
      <c r="E39" s="30"/>
      <c r="F39" s="41"/>
      <c r="G39" s="41"/>
      <c r="H39" s="41"/>
      <c r="I39" s="41"/>
      <c r="J39" s="45"/>
      <c r="K39" s="37"/>
      <c r="L39" s="37"/>
      <c r="M39" s="37"/>
      <c r="N39" s="45"/>
      <c r="O39" s="53"/>
      <c r="P39" s="54"/>
      <c r="Q39" s="54"/>
      <c r="R39" s="54"/>
      <c r="S39" s="54"/>
      <c r="T39" s="54"/>
      <c r="U39" s="56"/>
      <c r="V39" s="56"/>
      <c r="W39" s="56"/>
      <c r="X39" s="54"/>
      <c r="Y39" s="54"/>
      <c r="Z39" s="54">
        <f>(VLOOKUP(C39,[1]说明!$A:$B,2,0)*100+SUMPRODUCT(($C$2:C39=C39)*1))</f>
        <v>225</v>
      </c>
    </row>
    <row r="40" spans="1:26">
      <c r="A40" s="35">
        <v>1</v>
      </c>
      <c r="B40" s="37"/>
      <c r="C40" s="38"/>
      <c r="D40" s="40"/>
      <c r="E40" s="33"/>
      <c r="F40" s="42"/>
      <c r="G40" s="42"/>
      <c r="H40" s="42"/>
      <c r="I40" s="42"/>
      <c r="J40" s="46"/>
      <c r="K40" s="37"/>
      <c r="L40" s="37"/>
      <c r="M40" s="37"/>
      <c r="N40" s="46"/>
      <c r="O40" s="55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>
        <f>(VLOOKUP(C40,[1]说明!$A:$B,2,0)*100+SUMPRODUCT(($C$2:C40=C40)*1))</f>
        <v>226</v>
      </c>
    </row>
    <row r="41" spans="1:26">
      <c r="A41" s="32">
        <v>1</v>
      </c>
      <c r="B41" s="37"/>
      <c r="C41" s="38"/>
      <c r="D41" s="39"/>
      <c r="E41" s="30"/>
      <c r="F41" s="41"/>
      <c r="G41" s="41"/>
      <c r="H41" s="41"/>
      <c r="I41" s="41"/>
      <c r="J41" s="45"/>
      <c r="K41" s="37"/>
      <c r="L41" s="37"/>
      <c r="M41" s="37"/>
      <c r="N41" s="45"/>
      <c r="O41" s="53"/>
      <c r="P41" s="54"/>
      <c r="Q41" s="54"/>
      <c r="R41" s="54"/>
      <c r="S41" s="54"/>
      <c r="T41" s="54"/>
      <c r="U41" s="56"/>
      <c r="V41" s="56"/>
      <c r="W41" s="56"/>
      <c r="X41" s="54"/>
      <c r="Y41" s="54"/>
      <c r="Z41" s="54">
        <f>(VLOOKUP(C41,[1]说明!$A:$B,2,0)*100+SUMPRODUCT(($C$2:C41=C41)*1))</f>
        <v>227</v>
      </c>
    </row>
    <row r="42" spans="1:26">
      <c r="A42" s="35">
        <v>1</v>
      </c>
      <c r="B42" s="37"/>
      <c r="C42" s="38"/>
      <c r="D42" s="40"/>
      <c r="E42" s="33"/>
      <c r="F42" s="42"/>
      <c r="G42" s="42"/>
      <c r="H42" s="42"/>
      <c r="I42" s="42"/>
      <c r="J42" s="46"/>
      <c r="K42" s="37"/>
      <c r="L42" s="37"/>
      <c r="M42" s="37"/>
      <c r="N42" s="46"/>
      <c r="O42" s="55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>
        <f>(VLOOKUP(C42,[1]说明!$A:$B,2,0)*100+SUMPRODUCT(($C$2:C42=C42)*1))</f>
        <v>228</v>
      </c>
    </row>
    <row r="43" spans="1:26">
      <c r="A43" s="32">
        <v>1</v>
      </c>
      <c r="B43" s="37"/>
      <c r="C43" s="38"/>
      <c r="D43" s="39"/>
      <c r="E43" s="30"/>
      <c r="F43" s="41"/>
      <c r="G43" s="41"/>
      <c r="H43" s="41"/>
      <c r="I43" s="41"/>
      <c r="J43" s="45"/>
      <c r="K43" s="37"/>
      <c r="L43" s="37"/>
      <c r="M43" s="37"/>
      <c r="N43" s="45"/>
      <c r="O43" s="53"/>
      <c r="P43" s="54"/>
      <c r="Q43" s="54"/>
      <c r="R43" s="54"/>
      <c r="S43" s="54"/>
      <c r="T43" s="54"/>
      <c r="U43" s="56"/>
      <c r="V43" s="56"/>
      <c r="W43" s="56"/>
      <c r="X43" s="54"/>
      <c r="Y43" s="54"/>
      <c r="Z43" s="54">
        <f>(VLOOKUP(C43,[1]说明!$A:$B,2,0)*100+SUMPRODUCT(($C$2:C43=C43)*1))</f>
        <v>229</v>
      </c>
    </row>
    <row r="44" spans="1:26">
      <c r="A44" s="35">
        <v>1</v>
      </c>
      <c r="B44" s="37"/>
      <c r="C44" s="38"/>
      <c r="D44" s="40"/>
      <c r="E44" s="33"/>
      <c r="F44" s="42"/>
      <c r="G44" s="42"/>
      <c r="H44" s="42"/>
      <c r="I44" s="42"/>
      <c r="J44" s="46"/>
      <c r="K44" s="37"/>
      <c r="L44" s="37"/>
      <c r="M44" s="37"/>
      <c r="N44" s="46"/>
      <c r="O44" s="55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>
        <f>(VLOOKUP(C44,[1]说明!$A:$B,2,0)*100+SUMPRODUCT(($C$2:C44=C44)*1))</f>
        <v>230</v>
      </c>
    </row>
    <row r="45" spans="1:26">
      <c r="A45" s="32">
        <v>1</v>
      </c>
      <c r="B45" s="37"/>
      <c r="C45" s="38"/>
      <c r="D45" s="39"/>
      <c r="E45" s="30"/>
      <c r="F45" s="41"/>
      <c r="G45" s="41"/>
      <c r="H45" s="41"/>
      <c r="I45" s="41"/>
      <c r="J45" s="45"/>
      <c r="K45" s="37"/>
      <c r="L45" s="37"/>
      <c r="M45" s="37"/>
      <c r="N45" s="45"/>
      <c r="O45" s="53"/>
      <c r="P45" s="54"/>
      <c r="Q45" s="54"/>
      <c r="R45" s="54"/>
      <c r="S45" s="54"/>
      <c r="T45" s="54"/>
      <c r="U45" s="56"/>
      <c r="V45" s="56"/>
      <c r="W45" s="56"/>
      <c r="X45" s="54"/>
      <c r="Y45" s="54"/>
      <c r="Z45" s="54">
        <f>(VLOOKUP(C45,[1]说明!$A:$B,2,0)*100+SUMPRODUCT(($C$2:C45=C45)*1))</f>
        <v>231</v>
      </c>
    </row>
    <row r="46" spans="1:26">
      <c r="A46" s="35">
        <v>1</v>
      </c>
      <c r="B46" s="37"/>
      <c r="C46" s="38"/>
      <c r="D46" s="40"/>
      <c r="E46" s="33"/>
      <c r="F46" s="42"/>
      <c r="G46" s="42"/>
      <c r="H46" s="42"/>
      <c r="I46" s="42"/>
      <c r="J46" s="46"/>
      <c r="K46" s="37"/>
      <c r="L46" s="37"/>
      <c r="M46" s="37"/>
      <c r="N46" s="46"/>
      <c r="O46" s="55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>
        <f>(VLOOKUP(C46,[1]说明!$A:$B,2,0)*100+SUMPRODUCT(($C$2:C46=C46)*1))</f>
        <v>232</v>
      </c>
    </row>
    <row r="47" spans="1:26">
      <c r="A47" s="32">
        <v>1</v>
      </c>
      <c r="B47" s="37"/>
      <c r="C47" s="38"/>
      <c r="D47" s="39"/>
      <c r="E47" s="30"/>
      <c r="F47" s="41"/>
      <c r="G47" s="41"/>
      <c r="H47" s="41"/>
      <c r="I47" s="41"/>
      <c r="J47" s="45"/>
      <c r="K47" s="37"/>
      <c r="L47" s="37"/>
      <c r="M47" s="37"/>
      <c r="N47" s="45"/>
      <c r="O47" s="53"/>
      <c r="P47" s="54"/>
      <c r="Q47" s="54"/>
      <c r="R47" s="54"/>
      <c r="S47" s="54"/>
      <c r="T47" s="54"/>
      <c r="U47" s="56"/>
      <c r="V47" s="56"/>
      <c r="W47" s="56"/>
      <c r="X47" s="54"/>
      <c r="Y47" s="54"/>
      <c r="Z47" s="54">
        <f>(VLOOKUP(C47,[1]说明!$A:$B,2,0)*100+SUMPRODUCT(($C$2:C47=C47)*1))</f>
        <v>233</v>
      </c>
    </row>
    <row r="48" spans="1:26">
      <c r="A48" s="35">
        <v>1</v>
      </c>
      <c r="B48" s="37"/>
      <c r="C48" s="38"/>
      <c r="D48" s="40"/>
      <c r="E48" s="33"/>
      <c r="F48" s="42"/>
      <c r="G48" s="42"/>
      <c r="H48" s="42"/>
      <c r="I48" s="42"/>
      <c r="J48" s="46"/>
      <c r="K48" s="37"/>
      <c r="L48" s="37"/>
      <c r="M48" s="37"/>
      <c r="N48" s="46"/>
      <c r="O48" s="53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>
        <f>(VLOOKUP(C48,[1]说明!$A:$B,2,0)*100+SUMPRODUCT(($C$2:C48=C48)*1))</f>
        <v>234</v>
      </c>
    </row>
    <row r="49" spans="1:26">
      <c r="A49" s="32">
        <v>1</v>
      </c>
      <c r="B49" s="37"/>
      <c r="C49" s="38"/>
      <c r="D49" s="39"/>
      <c r="E49" s="30"/>
      <c r="F49" s="41"/>
      <c r="G49" s="41"/>
      <c r="H49" s="41"/>
      <c r="I49" s="41"/>
      <c r="J49" s="45"/>
      <c r="K49" s="37"/>
      <c r="L49" s="37"/>
      <c r="M49" s="37"/>
      <c r="N49" s="45"/>
      <c r="O49" s="55"/>
      <c r="P49" s="54"/>
      <c r="Q49" s="54"/>
      <c r="R49" s="54"/>
      <c r="S49" s="54"/>
      <c r="T49" s="54"/>
      <c r="U49" s="56"/>
      <c r="V49" s="56"/>
      <c r="W49" s="56"/>
      <c r="X49" s="54"/>
      <c r="Y49" s="54"/>
      <c r="Z49" s="54">
        <f>(VLOOKUP(C49,[1]说明!$A:$B,2,0)*100+SUMPRODUCT(($C$2:C49=C49)*1))</f>
        <v>235</v>
      </c>
    </row>
    <row r="50" spans="1:26">
      <c r="A50" s="35">
        <v>1</v>
      </c>
      <c r="B50" s="37"/>
      <c r="C50" s="38"/>
      <c r="D50" s="40"/>
      <c r="E50" s="33"/>
      <c r="F50" s="42"/>
      <c r="G50" s="42"/>
      <c r="H50" s="42"/>
      <c r="I50" s="42"/>
      <c r="J50" s="46"/>
      <c r="K50" s="37"/>
      <c r="L50" s="37"/>
      <c r="M50" s="37"/>
      <c r="N50" s="46"/>
      <c r="O50" s="53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>
        <f>(VLOOKUP(C50,[1]说明!$A:$B,2,0)*100+SUMPRODUCT(($C$2:C50=C50)*1))</f>
        <v>236</v>
      </c>
    </row>
    <row r="51" spans="1:26">
      <c r="A51" s="32">
        <v>1</v>
      </c>
      <c r="B51" s="37"/>
      <c r="C51" s="38"/>
      <c r="D51" s="39"/>
      <c r="E51" s="30"/>
      <c r="F51" s="41"/>
      <c r="G51" s="41"/>
      <c r="H51" s="41"/>
      <c r="I51" s="41"/>
      <c r="J51" s="45"/>
      <c r="K51" s="37"/>
      <c r="L51" s="37"/>
      <c r="M51" s="37"/>
      <c r="N51" s="45"/>
      <c r="O51" s="53"/>
      <c r="P51" s="54"/>
      <c r="Q51" s="54"/>
      <c r="R51" s="54"/>
      <c r="S51" s="54"/>
      <c r="T51" s="54"/>
      <c r="U51" s="56"/>
      <c r="V51" s="56"/>
      <c r="W51" s="56"/>
      <c r="X51" s="54"/>
      <c r="Y51" s="54"/>
      <c r="Z51" s="54">
        <f>(VLOOKUP(C51,[1]说明!$A:$B,2,0)*100+SUMPRODUCT(($C$2:C51=C51)*1))</f>
        <v>237</v>
      </c>
    </row>
    <row r="52" spans="1:26">
      <c r="A52" s="35">
        <v>1</v>
      </c>
      <c r="B52" s="37"/>
      <c r="C52" s="38"/>
      <c r="D52" s="40"/>
      <c r="E52" s="33"/>
      <c r="F52" s="42"/>
      <c r="G52" s="42"/>
      <c r="H52" s="42"/>
      <c r="I52" s="42"/>
      <c r="J52" s="46"/>
      <c r="K52" s="37"/>
      <c r="L52" s="37"/>
      <c r="M52" s="37"/>
      <c r="N52" s="46"/>
      <c r="O52" s="55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>
        <f>(VLOOKUP(C52,[1]说明!$A:$B,2,0)*100+SUMPRODUCT(($C$2:C52=C52)*1))</f>
        <v>238</v>
      </c>
    </row>
    <row r="53" spans="1:26">
      <c r="A53" s="35">
        <v>1</v>
      </c>
      <c r="B53" s="37"/>
      <c r="C53" s="38"/>
      <c r="D53" s="39"/>
      <c r="E53" s="30"/>
      <c r="F53" s="43"/>
      <c r="G53" s="43"/>
      <c r="H53" s="44"/>
      <c r="I53" s="43"/>
      <c r="J53" s="44"/>
      <c r="K53" s="37"/>
      <c r="L53" s="37"/>
      <c r="M53" s="37"/>
      <c r="N53" s="44"/>
      <c r="O53" s="53"/>
      <c r="P53" s="54"/>
      <c r="Q53" s="54"/>
      <c r="R53" s="54"/>
      <c r="S53" s="54"/>
      <c r="T53" s="54"/>
      <c r="U53" s="56"/>
      <c r="V53" s="56"/>
      <c r="W53" s="56"/>
      <c r="X53" s="54"/>
      <c r="Y53" s="54"/>
      <c r="Z53" s="54">
        <f>(VLOOKUP(C53,[1]说明!$A:$B,2,0)*100+SUMPRODUCT(($C$2:C53=C53)*1))</f>
        <v>239</v>
      </c>
    </row>
  </sheetData>
  <conditionalFormatting sqref="B53">
    <cfRule type="cellIs" dxfId="0" priority="8" stopIfTrue="1" operator="equal">
      <formula>0</formula>
    </cfRule>
  </conditionalFormatting>
  <conditionalFormatting sqref="B2:B13">
    <cfRule type="cellIs" dxfId="0" priority="2" stopIfTrue="1" operator="equal">
      <formula>0</formula>
    </cfRule>
  </conditionalFormatting>
  <conditionalFormatting sqref="B15:B52">
    <cfRule type="cellIs" dxfId="0" priority="10" stopIfTrue="1" operator="equal">
      <formula>0</formula>
    </cfRule>
  </conditionalFormatting>
  <conditionalFormatting sqref="E2:E14">
    <cfRule type="duplicateValues" dxfId="1" priority="5" stopIfTrue="1"/>
    <cfRule type="cellIs" dxfId="0" priority="4" stopIfTrue="1" operator="equal">
      <formula>0</formula>
    </cfRule>
    <cfRule type="duplicateValues" dxfId="1" priority="3" stopIfTrue="1"/>
  </conditionalFormatting>
  <conditionalFormatting sqref="E1 E15:E53">
    <cfRule type="duplicateValues" dxfId="1" priority="11" stopIfTrue="1"/>
  </conditionalFormatting>
  <conditionalFormatting sqref="F1:N1 F15:N53">
    <cfRule type="containsText" dxfId="2" priority="13" stopIfTrue="1" operator="between" text="缺考">
      <formula>NOT(ISERROR(SEARCH("缺考",F1)))</formula>
    </cfRule>
  </conditionalFormatting>
  <conditionalFormatting sqref="A2:A52 C15:C52 D15:N53 Z2:Z53">
    <cfRule type="cellIs" dxfId="0" priority="12" stopIfTrue="1" operator="equal">
      <formula>0</formula>
    </cfRule>
  </conditionalFormatting>
  <conditionalFormatting sqref="C2:J13 N2:N14 B14:J14">
    <cfRule type="cellIs" dxfId="0" priority="6" stopIfTrue="1" operator="equal">
      <formula>0</formula>
    </cfRule>
  </conditionalFormatting>
  <conditionalFormatting sqref="F2:N14">
    <cfRule type="containsText" dxfId="2" priority="7" stopIfTrue="1" operator="between" text="缺考">
      <formula>NOT(ISERROR(SEARCH("缺考",F2)))</formula>
    </cfRule>
  </conditionalFormatting>
  <conditionalFormatting sqref="K2:M14">
    <cfRule type="cellIs" dxfId="0" priority="1" stopIfTrue="1" operator="equal">
      <formula>0</formula>
    </cfRule>
  </conditionalFormatting>
  <conditionalFormatting sqref="A53 C53">
    <cfRule type="cellIs" dxfId="0" priority="9" stopIfTrue="1" operator="equal">
      <formula>0</formula>
    </cfRule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0"/>
  <sheetViews>
    <sheetView workbookViewId="0">
      <selection activeCell="K16" sqref="K16"/>
    </sheetView>
  </sheetViews>
  <sheetFormatPr defaultColWidth="9.23076923076923" defaultRowHeight="16.8"/>
  <sheetData>
    <row r="1" ht="34" spans="1:25">
      <c r="A1" s="1" t="str">
        <f>'[2]1'!A1</f>
        <v>考试顺序</v>
      </c>
      <c r="B1" s="2" t="str">
        <f>'[2]1'!B1</f>
        <v>考试时间</v>
      </c>
      <c r="C1" s="3" t="str">
        <f>'[2]1'!C1</f>
        <v>班号</v>
      </c>
      <c r="D1" s="4" t="str">
        <f>'[2]1'!D1</f>
        <v>学号</v>
      </c>
      <c r="E1" s="4" t="str">
        <f>'[2]1'!E1</f>
        <v>姓名</v>
      </c>
      <c r="F1" s="12" t="str">
        <f>'[2]1'!F1</f>
        <v>语文</v>
      </c>
      <c r="G1" s="12" t="str">
        <f>'[2]1'!G1</f>
        <v>数学</v>
      </c>
      <c r="H1" s="12" t="str">
        <f>'[2]1'!H1</f>
        <v>英语</v>
      </c>
      <c r="I1" s="12" t="str">
        <f>'[2]1'!I1</f>
        <v>物理</v>
      </c>
      <c r="J1" s="12" t="str">
        <f>'[2]1'!J1</f>
        <v>化学</v>
      </c>
      <c r="K1" s="12" t="str">
        <f>'[2]1'!K1</f>
        <v>政治</v>
      </c>
      <c r="L1" s="12" t="str">
        <f>'[2]1'!L1</f>
        <v>历史</v>
      </c>
      <c r="M1" s="12" t="str">
        <f>'[2]1'!M1</f>
        <v>地理</v>
      </c>
      <c r="N1" s="12" t="str">
        <f>'[2]1'!N1</f>
        <v>生物</v>
      </c>
      <c r="O1" s="17" t="str">
        <f>'[2]1'!O1</f>
        <v>总分</v>
      </c>
      <c r="P1" s="18" t="str">
        <f>'[2]1'!P1</f>
        <v>语文级排名</v>
      </c>
      <c r="Q1" s="18" t="str">
        <f>'[2]1'!Q1</f>
        <v>数学级排名</v>
      </c>
      <c r="R1" s="18" t="str">
        <f>'[2]1'!R1</f>
        <v>英语级排名</v>
      </c>
      <c r="S1" s="18" t="str">
        <f>'[2]1'!S1</f>
        <v>物理级排名</v>
      </c>
      <c r="T1" s="23" t="str">
        <f>'[2]1'!T1</f>
        <v>化学级排名</v>
      </c>
      <c r="U1" s="23" t="str">
        <f>'[2]1'!U1</f>
        <v>政治级排名</v>
      </c>
      <c r="V1" s="23" t="str">
        <f>'[2]1'!V1</f>
        <v>历史级排名</v>
      </c>
      <c r="W1" s="23" t="str">
        <f>'[2]1'!W1</f>
        <v>地理级排名</v>
      </c>
      <c r="X1" s="23" t="str">
        <f>'[2]1'!X1</f>
        <v>生物级排名</v>
      </c>
      <c r="Y1" s="23" t="str">
        <f>'[2]1'!Y1</f>
        <v>总分级排名</v>
      </c>
    </row>
    <row r="2" spans="1:25">
      <c r="A2" s="5" t="s">
        <v>44</v>
      </c>
      <c r="B2" s="5" t="s">
        <v>16</v>
      </c>
      <c r="C2" s="6" t="s">
        <v>17</v>
      </c>
      <c r="D2" s="7" t="s">
        <v>45</v>
      </c>
      <c r="E2" s="6" t="s">
        <v>46</v>
      </c>
      <c r="F2" s="13" t="s">
        <v>47</v>
      </c>
      <c r="G2" s="13">
        <v>42</v>
      </c>
      <c r="H2" s="13">
        <v>89.3</v>
      </c>
      <c r="I2" s="13" t="s">
        <v>47</v>
      </c>
      <c r="J2" s="15">
        <v>42.54545455</v>
      </c>
      <c r="K2" s="13">
        <v>0</v>
      </c>
      <c r="L2" s="13">
        <v>0</v>
      </c>
      <c r="M2" s="13">
        <v>0</v>
      </c>
      <c r="N2" s="15">
        <v>54.35714286</v>
      </c>
      <c r="O2" s="15">
        <f t="shared" ref="O2:O53" si="0">IF(SUM(F2:N2)=0,"缺考",SUM(F2:N2))</f>
        <v>228.20259741</v>
      </c>
      <c r="P2" s="19" t="s">
        <v>47</v>
      </c>
      <c r="Q2" s="19">
        <v>891</v>
      </c>
      <c r="R2" s="19">
        <v>241</v>
      </c>
      <c r="S2" s="19" t="s">
        <v>47</v>
      </c>
      <c r="T2" s="19">
        <v>914</v>
      </c>
      <c r="U2" s="19">
        <v>0</v>
      </c>
      <c r="V2" s="19">
        <v>0</v>
      </c>
      <c r="W2" s="19">
        <v>0</v>
      </c>
      <c r="X2" s="19">
        <v>729</v>
      </c>
      <c r="Y2" s="19">
        <v>989</v>
      </c>
    </row>
    <row r="3" spans="1:25">
      <c r="A3" s="8" t="s">
        <v>44</v>
      </c>
      <c r="B3" s="5" t="s">
        <v>16</v>
      </c>
      <c r="C3" s="9" t="s">
        <v>17</v>
      </c>
      <c r="D3" s="10" t="s">
        <v>48</v>
      </c>
      <c r="E3" s="9" t="s">
        <v>49</v>
      </c>
      <c r="F3" s="14">
        <v>107</v>
      </c>
      <c r="G3" s="14">
        <v>69</v>
      </c>
      <c r="H3" s="14">
        <v>81.8</v>
      </c>
      <c r="I3" s="14">
        <v>42</v>
      </c>
      <c r="J3" s="16">
        <v>72.83333333</v>
      </c>
      <c r="K3" s="13">
        <v>0</v>
      </c>
      <c r="L3" s="13">
        <v>0</v>
      </c>
      <c r="M3" s="13">
        <v>0</v>
      </c>
      <c r="N3" s="16">
        <v>74.66666667</v>
      </c>
      <c r="O3" s="16">
        <f t="shared" si="0"/>
        <v>447.3</v>
      </c>
      <c r="P3" s="20">
        <v>14</v>
      </c>
      <c r="Q3" s="20">
        <v>528</v>
      </c>
      <c r="R3" s="20">
        <v>433</v>
      </c>
      <c r="S3" s="20">
        <v>534</v>
      </c>
      <c r="T3" s="20">
        <v>336</v>
      </c>
      <c r="U3" s="19">
        <v>0</v>
      </c>
      <c r="V3" s="19">
        <v>0</v>
      </c>
      <c r="W3" s="19">
        <v>0</v>
      </c>
      <c r="X3" s="20">
        <v>241</v>
      </c>
      <c r="Y3" s="20">
        <v>335</v>
      </c>
    </row>
    <row r="4" spans="1:25">
      <c r="A4" s="5" t="s">
        <v>44</v>
      </c>
      <c r="B4" s="5" t="s">
        <v>16</v>
      </c>
      <c r="C4" s="6" t="s">
        <v>17</v>
      </c>
      <c r="D4" s="7" t="s">
        <v>50</v>
      </c>
      <c r="E4" s="6" t="s">
        <v>51</v>
      </c>
      <c r="F4" s="13">
        <v>84</v>
      </c>
      <c r="G4" s="13">
        <v>73</v>
      </c>
      <c r="H4" s="13">
        <v>76.4</v>
      </c>
      <c r="I4" s="13">
        <v>53</v>
      </c>
      <c r="J4" s="15">
        <v>79.25</v>
      </c>
      <c r="K4" s="13">
        <v>0</v>
      </c>
      <c r="L4" s="13">
        <v>0</v>
      </c>
      <c r="M4" s="13">
        <v>0</v>
      </c>
      <c r="N4" s="15">
        <v>85</v>
      </c>
      <c r="O4" s="15">
        <f t="shared" si="0"/>
        <v>450.65</v>
      </c>
      <c r="P4" s="19">
        <v>803</v>
      </c>
      <c r="Q4" s="19">
        <v>461</v>
      </c>
      <c r="R4" s="19">
        <v>592</v>
      </c>
      <c r="S4" s="19">
        <v>239</v>
      </c>
      <c r="T4" s="19">
        <v>151</v>
      </c>
      <c r="U4" s="19">
        <v>0</v>
      </c>
      <c r="V4" s="19">
        <v>0</v>
      </c>
      <c r="W4" s="19">
        <v>0</v>
      </c>
      <c r="X4" s="19">
        <v>39</v>
      </c>
      <c r="Y4" s="19">
        <v>312</v>
      </c>
    </row>
    <row r="5" spans="1:25">
      <c r="A5" s="8" t="s">
        <v>44</v>
      </c>
      <c r="B5" s="5" t="s">
        <v>16</v>
      </c>
      <c r="C5" s="9" t="s">
        <v>17</v>
      </c>
      <c r="D5" s="10" t="s">
        <v>52</v>
      </c>
      <c r="E5" s="9" t="s">
        <v>53</v>
      </c>
      <c r="F5" s="14">
        <v>87</v>
      </c>
      <c r="G5" s="14">
        <v>88</v>
      </c>
      <c r="H5" s="14">
        <v>99.6</v>
      </c>
      <c r="I5" s="14">
        <v>44</v>
      </c>
      <c r="J5" s="16">
        <v>58</v>
      </c>
      <c r="K5" s="13">
        <v>0</v>
      </c>
      <c r="L5" s="13">
        <v>0</v>
      </c>
      <c r="M5" s="13">
        <v>0</v>
      </c>
      <c r="N5" s="16">
        <v>60.375</v>
      </c>
      <c r="O5" s="16">
        <f t="shared" si="0"/>
        <v>436.975</v>
      </c>
      <c r="P5" s="20">
        <v>690</v>
      </c>
      <c r="Q5" s="20">
        <v>231</v>
      </c>
      <c r="R5" s="20">
        <v>73</v>
      </c>
      <c r="S5" s="20">
        <v>475</v>
      </c>
      <c r="T5" s="20">
        <v>791</v>
      </c>
      <c r="U5" s="19">
        <v>0</v>
      </c>
      <c r="V5" s="19">
        <v>0</v>
      </c>
      <c r="W5" s="19">
        <v>0</v>
      </c>
      <c r="X5" s="20">
        <v>650</v>
      </c>
      <c r="Y5" s="20">
        <v>409</v>
      </c>
    </row>
    <row r="6" spans="1:25">
      <c r="A6" s="5" t="s">
        <v>44</v>
      </c>
      <c r="B6" s="5" t="s">
        <v>16</v>
      </c>
      <c r="C6" s="6" t="s">
        <v>17</v>
      </c>
      <c r="D6" s="7" t="s">
        <v>54</v>
      </c>
      <c r="E6" s="6" t="s">
        <v>55</v>
      </c>
      <c r="F6" s="13">
        <v>80</v>
      </c>
      <c r="G6" s="13">
        <v>80</v>
      </c>
      <c r="H6" s="13">
        <v>81.3</v>
      </c>
      <c r="I6" s="13">
        <v>45</v>
      </c>
      <c r="J6" s="15">
        <v>61.75</v>
      </c>
      <c r="K6" s="13">
        <v>0</v>
      </c>
      <c r="L6" s="13">
        <v>0</v>
      </c>
      <c r="M6" s="13">
        <v>0</v>
      </c>
      <c r="N6" s="15">
        <v>75.58333333</v>
      </c>
      <c r="O6" s="15">
        <f t="shared" si="0"/>
        <v>423.63333333</v>
      </c>
      <c r="P6" s="19">
        <v>893</v>
      </c>
      <c r="Q6" s="19">
        <v>346</v>
      </c>
      <c r="R6" s="19">
        <v>449</v>
      </c>
      <c r="S6" s="19">
        <v>447</v>
      </c>
      <c r="T6" s="19">
        <v>684</v>
      </c>
      <c r="U6" s="19">
        <v>0</v>
      </c>
      <c r="V6" s="19">
        <v>0</v>
      </c>
      <c r="W6" s="19">
        <v>0</v>
      </c>
      <c r="X6" s="19">
        <v>215</v>
      </c>
      <c r="Y6" s="19">
        <v>505</v>
      </c>
    </row>
    <row r="7" spans="1:25">
      <c r="A7" s="8" t="s">
        <v>44</v>
      </c>
      <c r="B7" s="5" t="s">
        <v>16</v>
      </c>
      <c r="C7" s="9" t="s">
        <v>17</v>
      </c>
      <c r="D7" s="10" t="s">
        <v>56</v>
      </c>
      <c r="E7" s="9" t="s">
        <v>57</v>
      </c>
      <c r="F7" s="14">
        <v>91</v>
      </c>
      <c r="G7" s="14">
        <v>108</v>
      </c>
      <c r="H7" s="14">
        <v>88.2</v>
      </c>
      <c r="I7" s="14">
        <v>72</v>
      </c>
      <c r="J7" s="16">
        <v>84.71428571</v>
      </c>
      <c r="K7" s="13">
        <v>0</v>
      </c>
      <c r="L7" s="13">
        <v>0</v>
      </c>
      <c r="M7" s="13">
        <v>0</v>
      </c>
      <c r="N7" s="16">
        <v>87</v>
      </c>
      <c r="O7" s="16">
        <f t="shared" si="0"/>
        <v>530.91428571</v>
      </c>
      <c r="P7" s="20">
        <v>511</v>
      </c>
      <c r="Q7" s="20">
        <v>46</v>
      </c>
      <c r="R7" s="20">
        <v>262</v>
      </c>
      <c r="S7" s="20">
        <v>18</v>
      </c>
      <c r="T7" s="20">
        <v>49</v>
      </c>
      <c r="U7" s="19">
        <v>0</v>
      </c>
      <c r="V7" s="19">
        <v>0</v>
      </c>
      <c r="W7" s="19">
        <v>0</v>
      </c>
      <c r="X7" s="20">
        <v>26</v>
      </c>
      <c r="Y7" s="20">
        <v>21</v>
      </c>
    </row>
    <row r="8" spans="1:26">
      <c r="A8" s="5" t="s">
        <v>44</v>
      </c>
      <c r="B8" s="5" t="s">
        <v>16</v>
      </c>
      <c r="C8" s="6" t="s">
        <v>17</v>
      </c>
      <c r="D8" s="7" t="s">
        <v>58</v>
      </c>
      <c r="E8" s="6" t="s">
        <v>59</v>
      </c>
      <c r="F8" s="13">
        <v>93</v>
      </c>
      <c r="G8" s="13">
        <v>92</v>
      </c>
      <c r="H8" s="13">
        <v>99.6</v>
      </c>
      <c r="I8" s="13">
        <v>58</v>
      </c>
      <c r="J8" s="15">
        <v>80.16666667</v>
      </c>
      <c r="K8" s="13">
        <v>0</v>
      </c>
      <c r="L8" s="13">
        <v>0</v>
      </c>
      <c r="M8" s="13">
        <v>0</v>
      </c>
      <c r="N8" s="15">
        <v>71</v>
      </c>
      <c r="O8" s="15">
        <f t="shared" si="0"/>
        <v>493.76666667</v>
      </c>
      <c r="P8" s="19">
        <v>414</v>
      </c>
      <c r="Q8" s="19">
        <v>179</v>
      </c>
      <c r="R8" s="19">
        <v>73</v>
      </c>
      <c r="S8" s="19">
        <v>138</v>
      </c>
      <c r="T8" s="19">
        <v>130</v>
      </c>
      <c r="U8" s="19">
        <v>0</v>
      </c>
      <c r="V8" s="19">
        <v>0</v>
      </c>
      <c r="W8" s="19">
        <v>0</v>
      </c>
      <c r="X8" s="19">
        <v>335</v>
      </c>
      <c r="Y8" s="19">
        <v>105</v>
      </c>
      <c r="Z8" s="23"/>
    </row>
    <row r="9" spans="1:26">
      <c r="A9" s="8" t="s">
        <v>44</v>
      </c>
      <c r="B9" s="5" t="s">
        <v>16</v>
      </c>
      <c r="C9" s="9" t="s">
        <v>17</v>
      </c>
      <c r="D9" s="10" t="s">
        <v>60</v>
      </c>
      <c r="E9" s="9" t="s">
        <v>61</v>
      </c>
      <c r="F9" s="14">
        <v>90</v>
      </c>
      <c r="G9" s="14">
        <v>88</v>
      </c>
      <c r="H9" s="14">
        <v>82.6</v>
      </c>
      <c r="I9" s="14">
        <v>45</v>
      </c>
      <c r="J9" s="16">
        <v>77.41666667</v>
      </c>
      <c r="K9" s="13">
        <v>0</v>
      </c>
      <c r="L9" s="13">
        <v>0</v>
      </c>
      <c r="M9" s="13">
        <v>0</v>
      </c>
      <c r="N9" s="16">
        <v>71.91666667</v>
      </c>
      <c r="O9" s="16">
        <f t="shared" si="0"/>
        <v>454.93333334</v>
      </c>
      <c r="P9" s="20">
        <v>558</v>
      </c>
      <c r="Q9" s="20">
        <v>231</v>
      </c>
      <c r="R9" s="20">
        <v>417</v>
      </c>
      <c r="S9" s="20">
        <v>447</v>
      </c>
      <c r="T9" s="20">
        <v>196</v>
      </c>
      <c r="U9" s="19">
        <v>0</v>
      </c>
      <c r="V9" s="19">
        <v>0</v>
      </c>
      <c r="W9" s="19">
        <v>0</v>
      </c>
      <c r="X9" s="20">
        <v>308</v>
      </c>
      <c r="Y9" s="20">
        <v>286</v>
      </c>
      <c r="Z9" s="19"/>
    </row>
    <row r="10" spans="1:26">
      <c r="A10" s="5" t="s">
        <v>44</v>
      </c>
      <c r="B10" s="5" t="s">
        <v>16</v>
      </c>
      <c r="C10" s="6" t="s">
        <v>17</v>
      </c>
      <c r="D10" s="7" t="s">
        <v>62</v>
      </c>
      <c r="E10" s="6" t="s">
        <v>63</v>
      </c>
      <c r="F10" s="13">
        <v>96</v>
      </c>
      <c r="G10" s="13">
        <v>72</v>
      </c>
      <c r="H10" s="13">
        <v>113.5</v>
      </c>
      <c r="I10" s="13">
        <v>66</v>
      </c>
      <c r="J10" s="15">
        <v>86.85714286</v>
      </c>
      <c r="K10" s="13">
        <v>0</v>
      </c>
      <c r="L10" s="13">
        <v>0</v>
      </c>
      <c r="M10" s="13">
        <v>0</v>
      </c>
      <c r="N10" s="15">
        <v>88</v>
      </c>
      <c r="O10" s="15">
        <f t="shared" si="0"/>
        <v>522.35714286</v>
      </c>
      <c r="P10" s="19">
        <v>269</v>
      </c>
      <c r="Q10" s="19">
        <v>479</v>
      </c>
      <c r="R10" s="19">
        <v>10</v>
      </c>
      <c r="S10" s="19">
        <v>45</v>
      </c>
      <c r="T10" s="19">
        <v>24</v>
      </c>
      <c r="U10" s="19">
        <v>0</v>
      </c>
      <c r="V10" s="19">
        <v>0</v>
      </c>
      <c r="W10" s="19">
        <v>0</v>
      </c>
      <c r="X10" s="19">
        <v>21</v>
      </c>
      <c r="Y10" s="19">
        <v>32</v>
      </c>
      <c r="Z10" s="20"/>
    </row>
    <row r="11" spans="1:26">
      <c r="A11" s="8" t="s">
        <v>44</v>
      </c>
      <c r="B11" s="5" t="s">
        <v>16</v>
      </c>
      <c r="C11" s="9" t="s">
        <v>17</v>
      </c>
      <c r="D11" s="10" t="s">
        <v>64</v>
      </c>
      <c r="E11" s="9" t="s">
        <v>65</v>
      </c>
      <c r="F11" s="14">
        <v>98</v>
      </c>
      <c r="G11" s="14">
        <v>71</v>
      </c>
      <c r="H11" s="14">
        <v>89.4</v>
      </c>
      <c r="I11" s="14">
        <v>43</v>
      </c>
      <c r="J11" s="16">
        <v>63.58333333</v>
      </c>
      <c r="K11" s="13">
        <v>0</v>
      </c>
      <c r="L11" s="13">
        <v>0</v>
      </c>
      <c r="M11" s="13">
        <v>0</v>
      </c>
      <c r="N11" s="16">
        <v>65.875</v>
      </c>
      <c r="O11" s="16">
        <f t="shared" si="0"/>
        <v>430.85833333</v>
      </c>
      <c r="P11" s="20">
        <v>187</v>
      </c>
      <c r="Q11" s="20">
        <v>492</v>
      </c>
      <c r="R11" s="20">
        <v>235</v>
      </c>
      <c r="S11" s="20">
        <v>503</v>
      </c>
      <c r="T11" s="20">
        <v>626</v>
      </c>
      <c r="U11" s="19">
        <v>0</v>
      </c>
      <c r="V11" s="19">
        <v>0</v>
      </c>
      <c r="W11" s="19">
        <v>0</v>
      </c>
      <c r="X11" s="20">
        <v>487</v>
      </c>
      <c r="Y11" s="20">
        <v>461</v>
      </c>
      <c r="Z11" s="19"/>
    </row>
    <row r="12" spans="1:26">
      <c r="A12" s="5" t="s">
        <v>44</v>
      </c>
      <c r="B12" s="5" t="s">
        <v>16</v>
      </c>
      <c r="C12" s="6" t="s">
        <v>17</v>
      </c>
      <c r="D12" s="7" t="s">
        <v>66</v>
      </c>
      <c r="E12" s="6" t="s">
        <v>67</v>
      </c>
      <c r="F12" s="13">
        <v>95</v>
      </c>
      <c r="G12" s="13">
        <v>72</v>
      </c>
      <c r="H12" s="13">
        <v>82.6</v>
      </c>
      <c r="I12" s="13">
        <v>75</v>
      </c>
      <c r="J12" s="15">
        <v>84.28571429</v>
      </c>
      <c r="K12" s="13">
        <v>0</v>
      </c>
      <c r="L12" s="13">
        <v>0</v>
      </c>
      <c r="M12" s="13">
        <v>0</v>
      </c>
      <c r="N12" s="15">
        <v>76.5</v>
      </c>
      <c r="O12" s="21">
        <f t="shared" si="0"/>
        <v>485.38571429</v>
      </c>
      <c r="P12" s="19">
        <v>312</v>
      </c>
      <c r="Q12" s="19">
        <v>479</v>
      </c>
      <c r="R12" s="19">
        <v>417</v>
      </c>
      <c r="S12" s="19">
        <v>13</v>
      </c>
      <c r="T12" s="19">
        <v>62</v>
      </c>
      <c r="U12" s="19">
        <v>0</v>
      </c>
      <c r="V12" s="19">
        <v>0</v>
      </c>
      <c r="W12" s="19">
        <v>0</v>
      </c>
      <c r="X12" s="19">
        <v>193</v>
      </c>
      <c r="Y12" s="19">
        <v>135</v>
      </c>
      <c r="Z12" s="20"/>
    </row>
    <row r="13" spans="1:26">
      <c r="A13" s="9" t="s">
        <v>44</v>
      </c>
      <c r="B13" s="5" t="s">
        <v>16</v>
      </c>
      <c r="C13" s="9" t="s">
        <v>17</v>
      </c>
      <c r="D13" s="10" t="s">
        <v>68</v>
      </c>
      <c r="E13" s="9" t="s">
        <v>69</v>
      </c>
      <c r="F13" s="14">
        <v>96</v>
      </c>
      <c r="G13" s="14">
        <v>87</v>
      </c>
      <c r="H13" s="14">
        <v>94.9</v>
      </c>
      <c r="I13" s="14">
        <v>59</v>
      </c>
      <c r="J13" s="16">
        <v>64.5</v>
      </c>
      <c r="K13" s="13">
        <v>0</v>
      </c>
      <c r="L13" s="13">
        <v>0</v>
      </c>
      <c r="M13" s="13">
        <v>0</v>
      </c>
      <c r="N13" s="16">
        <v>80.16666667</v>
      </c>
      <c r="O13" s="22">
        <f t="shared" si="0"/>
        <v>481.56666667</v>
      </c>
      <c r="P13" s="20">
        <v>269</v>
      </c>
      <c r="Q13" s="20">
        <v>249</v>
      </c>
      <c r="R13" s="20">
        <v>135</v>
      </c>
      <c r="S13" s="20">
        <v>124</v>
      </c>
      <c r="T13" s="20">
        <v>603</v>
      </c>
      <c r="U13" s="19">
        <v>0</v>
      </c>
      <c r="V13" s="19">
        <v>0</v>
      </c>
      <c r="W13" s="19">
        <v>0</v>
      </c>
      <c r="X13" s="20">
        <v>125</v>
      </c>
      <c r="Y13" s="20">
        <v>145</v>
      </c>
      <c r="Z13" s="19"/>
    </row>
    <row r="14" spans="1:26">
      <c r="A14" s="6" t="s">
        <v>44</v>
      </c>
      <c r="B14" s="5" t="s">
        <v>16</v>
      </c>
      <c r="C14" s="6" t="s">
        <v>17</v>
      </c>
      <c r="D14" s="7" t="s">
        <v>70</v>
      </c>
      <c r="E14" s="6" t="s">
        <v>71</v>
      </c>
      <c r="F14" s="13">
        <v>97</v>
      </c>
      <c r="G14" s="13">
        <v>100</v>
      </c>
      <c r="H14" s="13">
        <v>83.5</v>
      </c>
      <c r="I14" s="13">
        <v>52</v>
      </c>
      <c r="J14" s="15">
        <v>66.33333333</v>
      </c>
      <c r="K14" s="13">
        <v>0</v>
      </c>
      <c r="L14" s="13">
        <v>0</v>
      </c>
      <c r="M14" s="13">
        <v>0</v>
      </c>
      <c r="N14" s="15">
        <v>61.75</v>
      </c>
      <c r="O14" s="21">
        <f t="shared" si="0"/>
        <v>460.58333333</v>
      </c>
      <c r="P14" s="19">
        <v>227</v>
      </c>
      <c r="Q14" s="19">
        <v>98</v>
      </c>
      <c r="R14" s="19">
        <v>388</v>
      </c>
      <c r="S14" s="19">
        <v>260</v>
      </c>
      <c r="T14" s="19">
        <v>541</v>
      </c>
      <c r="U14" s="19">
        <v>0</v>
      </c>
      <c r="V14" s="19">
        <v>0</v>
      </c>
      <c r="W14" s="19">
        <v>0</v>
      </c>
      <c r="X14" s="19">
        <v>618</v>
      </c>
      <c r="Y14" s="19">
        <v>247</v>
      </c>
      <c r="Z14" s="20"/>
    </row>
    <row r="15" spans="1:26">
      <c r="A15" s="9" t="s">
        <v>44</v>
      </c>
      <c r="B15" s="5" t="s">
        <v>16</v>
      </c>
      <c r="C15" s="9" t="s">
        <v>17</v>
      </c>
      <c r="D15" s="10" t="s">
        <v>72</v>
      </c>
      <c r="E15" s="9" t="s">
        <v>73</v>
      </c>
      <c r="F15" s="14">
        <v>83</v>
      </c>
      <c r="G15" s="14">
        <v>71</v>
      </c>
      <c r="H15" s="14">
        <v>83.5</v>
      </c>
      <c r="I15" s="14">
        <v>35</v>
      </c>
      <c r="J15" s="16">
        <v>72.83333333</v>
      </c>
      <c r="K15" s="13">
        <v>0</v>
      </c>
      <c r="L15" s="13">
        <v>0</v>
      </c>
      <c r="M15" s="13">
        <v>0</v>
      </c>
      <c r="N15" s="16">
        <v>42.21428571</v>
      </c>
      <c r="O15" s="22">
        <f t="shared" si="0"/>
        <v>387.54761904</v>
      </c>
      <c r="P15" s="20">
        <v>825</v>
      </c>
      <c r="Q15" s="20">
        <v>492</v>
      </c>
      <c r="R15" s="20">
        <v>388</v>
      </c>
      <c r="S15" s="20">
        <v>736</v>
      </c>
      <c r="T15" s="20">
        <v>336</v>
      </c>
      <c r="U15" s="19">
        <v>0</v>
      </c>
      <c r="V15" s="19">
        <v>0</v>
      </c>
      <c r="W15" s="19">
        <v>0</v>
      </c>
      <c r="X15" s="20">
        <v>788</v>
      </c>
      <c r="Y15" s="20">
        <v>762</v>
      </c>
      <c r="Z15" s="19"/>
    </row>
    <row r="16" spans="1:26">
      <c r="A16" s="6" t="s">
        <v>44</v>
      </c>
      <c r="B16" s="5" t="s">
        <v>16</v>
      </c>
      <c r="C16" s="6" t="s">
        <v>17</v>
      </c>
      <c r="D16" s="7" t="s">
        <v>74</v>
      </c>
      <c r="E16" s="6" t="s">
        <v>75</v>
      </c>
      <c r="F16" s="13">
        <v>74</v>
      </c>
      <c r="G16" s="13">
        <v>91</v>
      </c>
      <c r="H16" s="13">
        <v>89.4</v>
      </c>
      <c r="I16" s="13">
        <v>42</v>
      </c>
      <c r="J16" s="15">
        <v>79.25</v>
      </c>
      <c r="K16" s="13">
        <v>0</v>
      </c>
      <c r="L16" s="13">
        <v>0</v>
      </c>
      <c r="M16" s="13">
        <v>0</v>
      </c>
      <c r="N16" s="15">
        <v>74.66666667</v>
      </c>
      <c r="O16" s="21">
        <f t="shared" si="0"/>
        <v>450.31666667</v>
      </c>
      <c r="P16" s="19">
        <v>962</v>
      </c>
      <c r="Q16" s="19">
        <v>193</v>
      </c>
      <c r="R16" s="19">
        <v>235</v>
      </c>
      <c r="S16" s="19">
        <v>534</v>
      </c>
      <c r="T16" s="19">
        <v>151</v>
      </c>
      <c r="U16" s="19">
        <v>0</v>
      </c>
      <c r="V16" s="19">
        <v>0</v>
      </c>
      <c r="W16" s="19">
        <v>0</v>
      </c>
      <c r="X16" s="19">
        <v>241</v>
      </c>
      <c r="Y16" s="19">
        <v>315</v>
      </c>
      <c r="Z16" s="20"/>
    </row>
    <row r="17" spans="1:26">
      <c r="A17" s="9" t="s">
        <v>44</v>
      </c>
      <c r="B17" s="5" t="s">
        <v>16</v>
      </c>
      <c r="C17" s="9" t="s">
        <v>17</v>
      </c>
      <c r="D17" s="10" t="s">
        <v>76</v>
      </c>
      <c r="E17" s="9" t="s">
        <v>77</v>
      </c>
      <c r="F17" s="14">
        <v>100</v>
      </c>
      <c r="G17" s="14">
        <v>116</v>
      </c>
      <c r="H17" s="14">
        <v>88.2</v>
      </c>
      <c r="I17" s="14">
        <v>70</v>
      </c>
      <c r="J17" s="16">
        <v>85.57142857</v>
      </c>
      <c r="K17" s="13">
        <v>0</v>
      </c>
      <c r="L17" s="13">
        <v>0</v>
      </c>
      <c r="M17" s="13">
        <v>0</v>
      </c>
      <c r="N17" s="16">
        <v>74.66666667</v>
      </c>
      <c r="O17" s="22">
        <f t="shared" si="0"/>
        <v>534.43809524</v>
      </c>
      <c r="P17" s="20">
        <v>123</v>
      </c>
      <c r="Q17" s="20">
        <v>14</v>
      </c>
      <c r="R17" s="20">
        <v>262</v>
      </c>
      <c r="S17" s="20">
        <v>28</v>
      </c>
      <c r="T17" s="20">
        <v>37</v>
      </c>
      <c r="U17" s="19">
        <v>0</v>
      </c>
      <c r="V17" s="19">
        <v>0</v>
      </c>
      <c r="W17" s="19">
        <v>0</v>
      </c>
      <c r="X17" s="20">
        <v>241</v>
      </c>
      <c r="Y17" s="20">
        <v>18</v>
      </c>
      <c r="Z17" s="19"/>
    </row>
    <row r="18" spans="1:26">
      <c r="A18" s="6" t="s">
        <v>44</v>
      </c>
      <c r="B18" s="5" t="s">
        <v>16</v>
      </c>
      <c r="C18" s="6" t="s">
        <v>17</v>
      </c>
      <c r="D18" s="7" t="s">
        <v>78</v>
      </c>
      <c r="E18" s="6" t="s">
        <v>79</v>
      </c>
      <c r="F18" s="13">
        <v>94</v>
      </c>
      <c r="G18" s="13">
        <v>78</v>
      </c>
      <c r="H18" s="13">
        <v>89.4</v>
      </c>
      <c r="I18" s="13">
        <v>53</v>
      </c>
      <c r="J18" s="15">
        <v>59</v>
      </c>
      <c r="K18" s="13">
        <v>0</v>
      </c>
      <c r="L18" s="13">
        <v>0</v>
      </c>
      <c r="M18" s="13">
        <v>0</v>
      </c>
      <c r="N18" s="15">
        <v>68.625</v>
      </c>
      <c r="O18" s="21">
        <f t="shared" si="0"/>
        <v>442.025</v>
      </c>
      <c r="P18" s="19">
        <v>369</v>
      </c>
      <c r="Q18" s="19">
        <v>386</v>
      </c>
      <c r="R18" s="19">
        <v>235</v>
      </c>
      <c r="S18" s="19">
        <v>239</v>
      </c>
      <c r="T18" s="19">
        <v>763</v>
      </c>
      <c r="U18" s="19">
        <v>0</v>
      </c>
      <c r="V18" s="19">
        <v>0</v>
      </c>
      <c r="W18" s="19">
        <v>0</v>
      </c>
      <c r="X18" s="19">
        <v>401</v>
      </c>
      <c r="Y18" s="19">
        <v>371</v>
      </c>
      <c r="Z18" s="20"/>
    </row>
    <row r="19" spans="1:26">
      <c r="A19" s="9" t="s">
        <v>44</v>
      </c>
      <c r="B19" s="5" t="s">
        <v>16</v>
      </c>
      <c r="C19" s="9" t="s">
        <v>17</v>
      </c>
      <c r="D19" s="10" t="s">
        <v>80</v>
      </c>
      <c r="E19" s="9" t="s">
        <v>81</v>
      </c>
      <c r="F19" s="14">
        <v>88</v>
      </c>
      <c r="G19" s="14">
        <v>56</v>
      </c>
      <c r="H19" s="14">
        <v>80.1</v>
      </c>
      <c r="I19" s="14">
        <v>37</v>
      </c>
      <c r="J19" s="16">
        <v>65.41666667</v>
      </c>
      <c r="K19" s="13">
        <v>0</v>
      </c>
      <c r="L19" s="13">
        <v>0</v>
      </c>
      <c r="M19" s="13">
        <v>0</v>
      </c>
      <c r="N19" s="16">
        <v>76.5</v>
      </c>
      <c r="O19" s="22">
        <f t="shared" si="0"/>
        <v>403.01666667</v>
      </c>
      <c r="P19" s="20">
        <v>651</v>
      </c>
      <c r="Q19" s="20">
        <v>721</v>
      </c>
      <c r="R19" s="20">
        <v>480</v>
      </c>
      <c r="S19" s="20">
        <v>673</v>
      </c>
      <c r="T19" s="20">
        <v>573</v>
      </c>
      <c r="U19" s="19">
        <v>0</v>
      </c>
      <c r="V19" s="19">
        <v>0</v>
      </c>
      <c r="W19" s="19">
        <v>0</v>
      </c>
      <c r="X19" s="20">
        <v>193</v>
      </c>
      <c r="Y19" s="20">
        <v>662</v>
      </c>
      <c r="Z19" s="19"/>
    </row>
    <row r="20" spans="1:26">
      <c r="A20" s="6" t="s">
        <v>44</v>
      </c>
      <c r="B20" s="5" t="s">
        <v>16</v>
      </c>
      <c r="C20" s="6" t="s">
        <v>17</v>
      </c>
      <c r="D20" s="7" t="s">
        <v>82</v>
      </c>
      <c r="E20" s="6" t="s">
        <v>83</v>
      </c>
      <c r="F20" s="13">
        <v>91</v>
      </c>
      <c r="G20" s="13">
        <v>78</v>
      </c>
      <c r="H20" s="13">
        <v>88.2</v>
      </c>
      <c r="I20" s="13">
        <v>48</v>
      </c>
      <c r="J20" s="15">
        <v>65.41666667</v>
      </c>
      <c r="K20" s="13">
        <v>0</v>
      </c>
      <c r="L20" s="13">
        <v>0</v>
      </c>
      <c r="M20" s="13">
        <v>0</v>
      </c>
      <c r="N20" s="15">
        <v>74.66666667</v>
      </c>
      <c r="O20" s="21">
        <f t="shared" si="0"/>
        <v>445.28333334</v>
      </c>
      <c r="P20" s="19">
        <v>511</v>
      </c>
      <c r="Q20" s="19">
        <v>386</v>
      </c>
      <c r="R20" s="19">
        <v>262</v>
      </c>
      <c r="S20" s="19">
        <v>366</v>
      </c>
      <c r="T20" s="19">
        <v>573</v>
      </c>
      <c r="U20" s="19">
        <v>0</v>
      </c>
      <c r="V20" s="19">
        <v>0</v>
      </c>
      <c r="W20" s="19">
        <v>0</v>
      </c>
      <c r="X20" s="19">
        <v>241</v>
      </c>
      <c r="Y20" s="19">
        <v>348</v>
      </c>
      <c r="Z20" s="20"/>
    </row>
    <row r="21" spans="1:26">
      <c r="A21" s="9" t="s">
        <v>44</v>
      </c>
      <c r="B21" s="5" t="s">
        <v>16</v>
      </c>
      <c r="C21" s="9" t="s">
        <v>17</v>
      </c>
      <c r="D21" s="10" t="s">
        <v>84</v>
      </c>
      <c r="E21" s="9" t="s">
        <v>85</v>
      </c>
      <c r="F21" s="14">
        <v>78</v>
      </c>
      <c r="G21" s="14">
        <v>100</v>
      </c>
      <c r="H21" s="14">
        <v>108.8</v>
      </c>
      <c r="I21" s="14">
        <v>71</v>
      </c>
      <c r="J21" s="16">
        <v>79.25</v>
      </c>
      <c r="K21" s="13">
        <v>0</v>
      </c>
      <c r="L21" s="13">
        <v>0</v>
      </c>
      <c r="M21" s="13">
        <v>0</v>
      </c>
      <c r="N21" s="16">
        <v>80.16666667</v>
      </c>
      <c r="O21" s="22">
        <f t="shared" si="0"/>
        <v>517.21666667</v>
      </c>
      <c r="P21" s="20">
        <v>928</v>
      </c>
      <c r="Q21" s="20">
        <v>98</v>
      </c>
      <c r="R21" s="20">
        <v>22</v>
      </c>
      <c r="S21" s="20">
        <v>24</v>
      </c>
      <c r="T21" s="20">
        <v>151</v>
      </c>
      <c r="U21" s="19">
        <v>0</v>
      </c>
      <c r="V21" s="19">
        <v>0</v>
      </c>
      <c r="W21" s="19">
        <v>0</v>
      </c>
      <c r="X21" s="20">
        <v>125</v>
      </c>
      <c r="Y21" s="20">
        <v>40</v>
      </c>
      <c r="Z21" s="19"/>
    </row>
    <row r="22" spans="1:26">
      <c r="A22" s="6" t="s">
        <v>44</v>
      </c>
      <c r="B22" s="5" t="s">
        <v>16</v>
      </c>
      <c r="C22" s="6" t="s">
        <v>17</v>
      </c>
      <c r="D22" s="7" t="s">
        <v>86</v>
      </c>
      <c r="E22" s="6" t="s">
        <v>87</v>
      </c>
      <c r="F22" s="13">
        <v>90</v>
      </c>
      <c r="G22" s="13">
        <v>92</v>
      </c>
      <c r="H22" s="13">
        <v>94.9</v>
      </c>
      <c r="I22" s="13">
        <v>55</v>
      </c>
      <c r="J22" s="15">
        <v>69.08333333</v>
      </c>
      <c r="K22" s="13">
        <v>0</v>
      </c>
      <c r="L22" s="13">
        <v>0</v>
      </c>
      <c r="M22" s="13">
        <v>0</v>
      </c>
      <c r="N22" s="15">
        <v>64.5</v>
      </c>
      <c r="O22" s="21">
        <f t="shared" si="0"/>
        <v>465.48333333</v>
      </c>
      <c r="P22" s="19">
        <v>558</v>
      </c>
      <c r="Q22" s="19">
        <v>179</v>
      </c>
      <c r="R22" s="19">
        <v>135</v>
      </c>
      <c r="S22" s="19">
        <v>194</v>
      </c>
      <c r="T22" s="19">
        <v>454</v>
      </c>
      <c r="U22" s="19">
        <v>0</v>
      </c>
      <c r="V22" s="19">
        <v>0</v>
      </c>
      <c r="W22" s="19">
        <v>0</v>
      </c>
      <c r="X22" s="19">
        <v>526</v>
      </c>
      <c r="Y22" s="19">
        <v>214</v>
      </c>
      <c r="Z22" s="20"/>
    </row>
    <row r="23" spans="1:26">
      <c r="A23" s="9" t="s">
        <v>44</v>
      </c>
      <c r="B23" s="5" t="s">
        <v>16</v>
      </c>
      <c r="C23" s="9" t="s">
        <v>17</v>
      </c>
      <c r="D23" s="10" t="s">
        <v>88</v>
      </c>
      <c r="E23" s="9" t="s">
        <v>89</v>
      </c>
      <c r="F23" s="14">
        <v>92</v>
      </c>
      <c r="G23" s="14">
        <v>65</v>
      </c>
      <c r="H23" s="14">
        <v>84</v>
      </c>
      <c r="I23" s="14">
        <v>39</v>
      </c>
      <c r="J23" s="16">
        <v>71.91666667</v>
      </c>
      <c r="K23" s="13">
        <v>0</v>
      </c>
      <c r="L23" s="13">
        <v>0</v>
      </c>
      <c r="M23" s="13">
        <v>0</v>
      </c>
      <c r="N23" s="16">
        <v>78.33333333</v>
      </c>
      <c r="O23" s="22">
        <f t="shared" si="0"/>
        <v>430.25</v>
      </c>
      <c r="P23" s="20">
        <v>465</v>
      </c>
      <c r="Q23" s="20">
        <v>591</v>
      </c>
      <c r="R23" s="20">
        <v>375</v>
      </c>
      <c r="S23" s="20">
        <v>625</v>
      </c>
      <c r="T23" s="20">
        <v>365</v>
      </c>
      <c r="U23" s="19">
        <v>0</v>
      </c>
      <c r="V23" s="19">
        <v>0</v>
      </c>
      <c r="W23" s="19">
        <v>0</v>
      </c>
      <c r="X23" s="20">
        <v>154</v>
      </c>
      <c r="Y23" s="20">
        <v>466</v>
      </c>
      <c r="Z23" s="19"/>
    </row>
    <row r="24" spans="1:26">
      <c r="A24" s="6" t="s">
        <v>44</v>
      </c>
      <c r="B24" s="5" t="s">
        <v>16</v>
      </c>
      <c r="C24" s="6" t="s">
        <v>17</v>
      </c>
      <c r="D24" s="7" t="s">
        <v>90</v>
      </c>
      <c r="E24" s="6" t="s">
        <v>91</v>
      </c>
      <c r="F24" s="13">
        <v>93</v>
      </c>
      <c r="G24" s="13">
        <v>83</v>
      </c>
      <c r="H24" s="13">
        <v>101.9</v>
      </c>
      <c r="I24" s="13">
        <v>52</v>
      </c>
      <c r="J24" s="15">
        <v>71</v>
      </c>
      <c r="K24" s="13">
        <v>0</v>
      </c>
      <c r="L24" s="13">
        <v>0</v>
      </c>
      <c r="M24" s="13">
        <v>0</v>
      </c>
      <c r="N24" s="15">
        <v>79.25</v>
      </c>
      <c r="O24" s="21">
        <f t="shared" si="0"/>
        <v>480.15</v>
      </c>
      <c r="P24" s="19">
        <v>414</v>
      </c>
      <c r="Q24" s="19">
        <v>291</v>
      </c>
      <c r="R24" s="19">
        <v>52</v>
      </c>
      <c r="S24" s="19">
        <v>260</v>
      </c>
      <c r="T24" s="19">
        <v>404</v>
      </c>
      <c r="U24" s="19">
        <v>0</v>
      </c>
      <c r="V24" s="19">
        <v>0</v>
      </c>
      <c r="W24" s="19">
        <v>0</v>
      </c>
      <c r="X24" s="19">
        <v>139</v>
      </c>
      <c r="Y24" s="19">
        <v>149</v>
      </c>
      <c r="Z24" s="20"/>
    </row>
    <row r="25" spans="1:26">
      <c r="A25" s="9" t="s">
        <v>44</v>
      </c>
      <c r="B25" s="5" t="s">
        <v>16</v>
      </c>
      <c r="C25" s="9" t="s">
        <v>17</v>
      </c>
      <c r="D25" s="10" t="s">
        <v>92</v>
      </c>
      <c r="E25" s="9" t="s">
        <v>93</v>
      </c>
      <c r="F25" s="14">
        <v>90</v>
      </c>
      <c r="G25" s="14">
        <v>88</v>
      </c>
      <c r="H25" s="14">
        <v>99.6</v>
      </c>
      <c r="I25" s="14">
        <v>26</v>
      </c>
      <c r="J25" s="16">
        <v>85.57142857</v>
      </c>
      <c r="K25" s="13">
        <v>0</v>
      </c>
      <c r="L25" s="13">
        <v>0</v>
      </c>
      <c r="M25" s="13">
        <v>0</v>
      </c>
      <c r="N25" s="16">
        <v>86</v>
      </c>
      <c r="O25" s="22">
        <f t="shared" si="0"/>
        <v>475.17142857</v>
      </c>
      <c r="P25" s="20">
        <v>558</v>
      </c>
      <c r="Q25" s="20">
        <v>231</v>
      </c>
      <c r="R25" s="20">
        <v>73</v>
      </c>
      <c r="S25" s="20">
        <v>919</v>
      </c>
      <c r="T25" s="20">
        <v>37</v>
      </c>
      <c r="U25" s="19">
        <v>0</v>
      </c>
      <c r="V25" s="19">
        <v>0</v>
      </c>
      <c r="W25" s="19">
        <v>0</v>
      </c>
      <c r="X25" s="20">
        <v>31</v>
      </c>
      <c r="Y25" s="20">
        <v>169</v>
      </c>
      <c r="Z25" s="19"/>
    </row>
    <row r="26" spans="1:26">
      <c r="A26" s="6" t="s">
        <v>44</v>
      </c>
      <c r="B26" s="5" t="s">
        <v>16</v>
      </c>
      <c r="C26" s="6" t="s">
        <v>17</v>
      </c>
      <c r="D26" s="7" t="s">
        <v>94</v>
      </c>
      <c r="E26" s="6" t="s">
        <v>95</v>
      </c>
      <c r="F26" s="13">
        <v>97</v>
      </c>
      <c r="G26" s="13">
        <v>68</v>
      </c>
      <c r="H26" s="13">
        <v>108.8</v>
      </c>
      <c r="I26" s="13">
        <v>35</v>
      </c>
      <c r="J26" s="15">
        <v>64.5</v>
      </c>
      <c r="K26" s="13">
        <v>0</v>
      </c>
      <c r="L26" s="13">
        <v>0</v>
      </c>
      <c r="M26" s="13">
        <v>0</v>
      </c>
      <c r="N26" s="15">
        <v>65.875</v>
      </c>
      <c r="O26" s="21">
        <f t="shared" si="0"/>
        <v>439.175</v>
      </c>
      <c r="P26" s="19">
        <v>227</v>
      </c>
      <c r="Q26" s="19">
        <v>547</v>
      </c>
      <c r="R26" s="19">
        <v>22</v>
      </c>
      <c r="S26" s="19">
        <v>736</v>
      </c>
      <c r="T26" s="19">
        <v>603</v>
      </c>
      <c r="U26" s="19">
        <v>0</v>
      </c>
      <c r="V26" s="19">
        <v>0</v>
      </c>
      <c r="W26" s="19">
        <v>0</v>
      </c>
      <c r="X26" s="19">
        <v>487</v>
      </c>
      <c r="Y26" s="19">
        <v>393</v>
      </c>
      <c r="Z26" s="20"/>
    </row>
    <row r="27" spans="1:26">
      <c r="A27" s="9" t="s">
        <v>44</v>
      </c>
      <c r="B27" s="5" t="s">
        <v>16</v>
      </c>
      <c r="C27" s="9" t="s">
        <v>17</v>
      </c>
      <c r="D27" s="10" t="s">
        <v>96</v>
      </c>
      <c r="E27" s="9" t="s">
        <v>97</v>
      </c>
      <c r="F27" s="14">
        <v>88</v>
      </c>
      <c r="G27" s="14">
        <v>102</v>
      </c>
      <c r="H27" s="14">
        <v>106.4</v>
      </c>
      <c r="I27" s="14">
        <v>62</v>
      </c>
      <c r="J27" s="16">
        <v>79.25</v>
      </c>
      <c r="K27" s="13">
        <v>0</v>
      </c>
      <c r="L27" s="13">
        <v>0</v>
      </c>
      <c r="M27" s="13">
        <v>0</v>
      </c>
      <c r="N27" s="16">
        <v>76.5</v>
      </c>
      <c r="O27" s="22">
        <f t="shared" si="0"/>
        <v>514.15</v>
      </c>
      <c r="P27" s="20">
        <v>651</v>
      </c>
      <c r="Q27" s="20">
        <v>76</v>
      </c>
      <c r="R27" s="20">
        <v>29</v>
      </c>
      <c r="S27" s="20">
        <v>89</v>
      </c>
      <c r="T27" s="20">
        <v>151</v>
      </c>
      <c r="U27" s="19">
        <v>0</v>
      </c>
      <c r="V27" s="19">
        <v>0</v>
      </c>
      <c r="W27" s="19">
        <v>0</v>
      </c>
      <c r="X27" s="20">
        <v>193</v>
      </c>
      <c r="Y27" s="20">
        <v>46</v>
      </c>
      <c r="Z27" s="19"/>
    </row>
    <row r="28" spans="1:26">
      <c r="A28" s="6" t="s">
        <v>44</v>
      </c>
      <c r="B28" s="5" t="s">
        <v>16</v>
      </c>
      <c r="C28" s="6" t="s">
        <v>17</v>
      </c>
      <c r="D28" s="7" t="s">
        <v>98</v>
      </c>
      <c r="E28" s="6" t="s">
        <v>99</v>
      </c>
      <c r="F28" s="13">
        <v>97</v>
      </c>
      <c r="G28" s="13">
        <v>93</v>
      </c>
      <c r="H28" s="13">
        <v>89.4</v>
      </c>
      <c r="I28" s="13">
        <v>45</v>
      </c>
      <c r="J28" s="15">
        <v>69.08333333</v>
      </c>
      <c r="K28" s="13">
        <v>0</v>
      </c>
      <c r="L28" s="13">
        <v>0</v>
      </c>
      <c r="M28" s="13">
        <v>0</v>
      </c>
      <c r="N28" s="15">
        <v>63.8125</v>
      </c>
      <c r="O28" s="21">
        <f t="shared" si="0"/>
        <v>457.29583333</v>
      </c>
      <c r="P28" s="19">
        <v>227</v>
      </c>
      <c r="Q28" s="19">
        <v>163</v>
      </c>
      <c r="R28" s="19">
        <v>235</v>
      </c>
      <c r="S28" s="19">
        <v>447</v>
      </c>
      <c r="T28" s="19">
        <v>454</v>
      </c>
      <c r="U28" s="19">
        <v>0</v>
      </c>
      <c r="V28" s="19">
        <v>0</v>
      </c>
      <c r="W28" s="19">
        <v>0</v>
      </c>
      <c r="X28" s="19">
        <v>551</v>
      </c>
      <c r="Y28" s="19">
        <v>271</v>
      </c>
      <c r="Z28" s="20"/>
    </row>
    <row r="29" spans="1:26">
      <c r="A29" s="9" t="s">
        <v>44</v>
      </c>
      <c r="B29" s="5" t="s">
        <v>16</v>
      </c>
      <c r="C29" s="9" t="s">
        <v>17</v>
      </c>
      <c r="D29" s="10" t="s">
        <v>100</v>
      </c>
      <c r="E29" s="9" t="s">
        <v>101</v>
      </c>
      <c r="F29" s="14">
        <v>92</v>
      </c>
      <c r="G29" s="14">
        <v>88</v>
      </c>
      <c r="H29" s="14">
        <v>83.5</v>
      </c>
      <c r="I29" s="14">
        <v>56</v>
      </c>
      <c r="J29" s="16">
        <v>89</v>
      </c>
      <c r="K29" s="13">
        <v>0</v>
      </c>
      <c r="L29" s="13">
        <v>0</v>
      </c>
      <c r="M29" s="13">
        <v>0</v>
      </c>
      <c r="N29" s="16">
        <v>88</v>
      </c>
      <c r="O29" s="22">
        <f t="shared" si="0"/>
        <v>496.5</v>
      </c>
      <c r="P29" s="20">
        <v>465</v>
      </c>
      <c r="Q29" s="20">
        <v>231</v>
      </c>
      <c r="R29" s="20">
        <v>388</v>
      </c>
      <c r="S29" s="20">
        <v>177</v>
      </c>
      <c r="T29" s="20">
        <v>10</v>
      </c>
      <c r="U29" s="19">
        <v>0</v>
      </c>
      <c r="V29" s="19">
        <v>0</v>
      </c>
      <c r="W29" s="19">
        <v>0</v>
      </c>
      <c r="X29" s="20">
        <v>21</v>
      </c>
      <c r="Y29" s="20">
        <v>93</v>
      </c>
      <c r="Z29" s="19"/>
    </row>
    <row r="30" spans="1:26">
      <c r="A30" s="6" t="s">
        <v>44</v>
      </c>
      <c r="B30" s="5" t="s">
        <v>16</v>
      </c>
      <c r="C30" s="6" t="s">
        <v>17</v>
      </c>
      <c r="D30" s="7" t="s">
        <v>102</v>
      </c>
      <c r="E30" s="6" t="s">
        <v>103</v>
      </c>
      <c r="F30" s="13">
        <v>98</v>
      </c>
      <c r="G30" s="13">
        <v>90</v>
      </c>
      <c r="H30" s="13">
        <v>83.5</v>
      </c>
      <c r="I30" s="13">
        <v>52</v>
      </c>
      <c r="J30" s="15">
        <v>75.58333333</v>
      </c>
      <c r="K30" s="13">
        <v>0</v>
      </c>
      <c r="L30" s="13">
        <v>0</v>
      </c>
      <c r="M30" s="13">
        <v>0</v>
      </c>
      <c r="N30" s="15">
        <v>85</v>
      </c>
      <c r="O30" s="21">
        <f t="shared" si="0"/>
        <v>484.08333333</v>
      </c>
      <c r="P30" s="19">
        <v>187</v>
      </c>
      <c r="Q30" s="19">
        <v>203</v>
      </c>
      <c r="R30" s="19">
        <v>388</v>
      </c>
      <c r="S30" s="19">
        <v>260</v>
      </c>
      <c r="T30" s="19">
        <v>237</v>
      </c>
      <c r="U30" s="19">
        <v>0</v>
      </c>
      <c r="V30" s="19">
        <v>0</v>
      </c>
      <c r="W30" s="19">
        <v>0</v>
      </c>
      <c r="X30" s="19">
        <v>39</v>
      </c>
      <c r="Y30" s="19">
        <v>139</v>
      </c>
      <c r="Z30" s="20"/>
    </row>
    <row r="31" spans="1:26">
      <c r="A31" s="9" t="s">
        <v>44</v>
      </c>
      <c r="B31" s="5" t="s">
        <v>16</v>
      </c>
      <c r="C31" s="9" t="s">
        <v>17</v>
      </c>
      <c r="D31" s="10" t="s">
        <v>104</v>
      </c>
      <c r="E31" s="9" t="s">
        <v>105</v>
      </c>
      <c r="F31" s="14">
        <v>97</v>
      </c>
      <c r="G31" s="14">
        <v>46</v>
      </c>
      <c r="H31" s="14">
        <v>99.6</v>
      </c>
      <c r="I31" s="14">
        <v>46</v>
      </c>
      <c r="J31" s="16">
        <v>70</v>
      </c>
      <c r="K31" s="13">
        <v>0</v>
      </c>
      <c r="L31" s="13">
        <v>0</v>
      </c>
      <c r="M31" s="13">
        <v>0</v>
      </c>
      <c r="N31" s="16">
        <v>81.08333333</v>
      </c>
      <c r="O31" s="22">
        <f t="shared" si="0"/>
        <v>439.68333333</v>
      </c>
      <c r="P31" s="20">
        <v>227</v>
      </c>
      <c r="Q31" s="20">
        <v>849</v>
      </c>
      <c r="R31" s="20">
        <v>73</v>
      </c>
      <c r="S31" s="20">
        <v>416</v>
      </c>
      <c r="T31" s="20">
        <v>428</v>
      </c>
      <c r="U31" s="19">
        <v>0</v>
      </c>
      <c r="V31" s="19">
        <v>0</v>
      </c>
      <c r="W31" s="19">
        <v>0</v>
      </c>
      <c r="X31" s="20">
        <v>104</v>
      </c>
      <c r="Y31" s="20">
        <v>391</v>
      </c>
      <c r="Z31" s="19"/>
    </row>
    <row r="32" spans="1:26">
      <c r="A32" s="6" t="s">
        <v>44</v>
      </c>
      <c r="B32" s="5" t="s">
        <v>16</v>
      </c>
      <c r="C32" s="6" t="s">
        <v>17</v>
      </c>
      <c r="D32" s="7" t="s">
        <v>106</v>
      </c>
      <c r="E32" s="6" t="s">
        <v>107</v>
      </c>
      <c r="F32" s="13">
        <v>89</v>
      </c>
      <c r="G32" s="13">
        <v>70</v>
      </c>
      <c r="H32" s="13">
        <v>104.2</v>
      </c>
      <c r="I32" s="13">
        <v>52</v>
      </c>
      <c r="J32" s="15">
        <v>68.16666667</v>
      </c>
      <c r="K32" s="13">
        <v>0</v>
      </c>
      <c r="L32" s="13">
        <v>0</v>
      </c>
      <c r="M32" s="13">
        <v>0</v>
      </c>
      <c r="N32" s="15">
        <v>77.41666667</v>
      </c>
      <c r="O32" s="21">
        <f t="shared" si="0"/>
        <v>460.78333334</v>
      </c>
      <c r="P32" s="19">
        <v>610</v>
      </c>
      <c r="Q32" s="19">
        <v>507</v>
      </c>
      <c r="R32" s="19">
        <v>35</v>
      </c>
      <c r="S32" s="19">
        <v>260</v>
      </c>
      <c r="T32" s="19">
        <v>483</v>
      </c>
      <c r="U32" s="19">
        <v>0</v>
      </c>
      <c r="V32" s="19">
        <v>0</v>
      </c>
      <c r="W32" s="19">
        <v>0</v>
      </c>
      <c r="X32" s="19">
        <v>176</v>
      </c>
      <c r="Y32" s="19">
        <v>246</v>
      </c>
      <c r="Z32" s="20"/>
    </row>
    <row r="33" spans="1:26">
      <c r="A33" s="9" t="s">
        <v>44</v>
      </c>
      <c r="B33" s="5" t="s">
        <v>16</v>
      </c>
      <c r="C33" s="9" t="s">
        <v>17</v>
      </c>
      <c r="D33" s="10" t="s">
        <v>108</v>
      </c>
      <c r="E33" s="9" t="s">
        <v>109</v>
      </c>
      <c r="F33" s="14">
        <v>89</v>
      </c>
      <c r="G33" s="14">
        <v>82</v>
      </c>
      <c r="H33" s="14">
        <v>92</v>
      </c>
      <c r="I33" s="14">
        <v>45</v>
      </c>
      <c r="J33" s="16">
        <v>75.58333333</v>
      </c>
      <c r="K33" s="13">
        <v>0</v>
      </c>
      <c r="L33" s="13">
        <v>0</v>
      </c>
      <c r="M33" s="13">
        <v>0</v>
      </c>
      <c r="N33" s="16">
        <v>75.58333333</v>
      </c>
      <c r="O33" s="22">
        <f t="shared" si="0"/>
        <v>459.16666666</v>
      </c>
      <c r="P33" s="20">
        <v>610</v>
      </c>
      <c r="Q33" s="20">
        <v>312</v>
      </c>
      <c r="R33" s="20">
        <v>184</v>
      </c>
      <c r="S33" s="20">
        <v>447</v>
      </c>
      <c r="T33" s="20">
        <v>237</v>
      </c>
      <c r="U33" s="19">
        <v>0</v>
      </c>
      <c r="V33" s="19">
        <v>0</v>
      </c>
      <c r="W33" s="19">
        <v>0</v>
      </c>
      <c r="X33" s="20">
        <v>215</v>
      </c>
      <c r="Y33" s="20">
        <v>260</v>
      </c>
      <c r="Z33" s="19"/>
    </row>
    <row r="34" spans="1:26">
      <c r="A34" s="6" t="s">
        <v>44</v>
      </c>
      <c r="B34" s="5" t="s">
        <v>16</v>
      </c>
      <c r="C34" s="6" t="s">
        <v>17</v>
      </c>
      <c r="D34" s="7" t="s">
        <v>110</v>
      </c>
      <c r="E34" s="6" t="s">
        <v>111</v>
      </c>
      <c r="F34" s="13">
        <v>93</v>
      </c>
      <c r="G34" s="13">
        <v>96</v>
      </c>
      <c r="H34" s="13">
        <v>94.9</v>
      </c>
      <c r="I34" s="13">
        <v>58</v>
      </c>
      <c r="J34" s="15">
        <v>84.71428571</v>
      </c>
      <c r="K34" s="13">
        <v>0</v>
      </c>
      <c r="L34" s="13">
        <v>0</v>
      </c>
      <c r="M34" s="13">
        <v>0</v>
      </c>
      <c r="N34" s="15">
        <v>73.75</v>
      </c>
      <c r="O34" s="21">
        <f t="shared" si="0"/>
        <v>500.36428571</v>
      </c>
      <c r="P34" s="19">
        <v>414</v>
      </c>
      <c r="Q34" s="19">
        <v>132</v>
      </c>
      <c r="R34" s="19">
        <v>135</v>
      </c>
      <c r="S34" s="19">
        <v>138</v>
      </c>
      <c r="T34" s="19">
        <v>49</v>
      </c>
      <c r="U34" s="19">
        <v>0</v>
      </c>
      <c r="V34" s="19">
        <v>0</v>
      </c>
      <c r="W34" s="19">
        <v>0</v>
      </c>
      <c r="X34" s="19">
        <v>263</v>
      </c>
      <c r="Y34" s="19">
        <v>78</v>
      </c>
      <c r="Z34" s="20"/>
    </row>
    <row r="35" spans="1:26">
      <c r="A35" s="9" t="s">
        <v>44</v>
      </c>
      <c r="B35" s="5" t="s">
        <v>16</v>
      </c>
      <c r="C35" s="9" t="s">
        <v>17</v>
      </c>
      <c r="D35" s="10" t="s">
        <v>112</v>
      </c>
      <c r="E35" s="9" t="s">
        <v>113</v>
      </c>
      <c r="F35" s="14">
        <v>77</v>
      </c>
      <c r="G35" s="14">
        <v>99</v>
      </c>
      <c r="H35" s="14">
        <v>82.2</v>
      </c>
      <c r="I35" s="14">
        <v>76</v>
      </c>
      <c r="J35" s="16">
        <v>62.66666667</v>
      </c>
      <c r="K35" s="13">
        <v>0</v>
      </c>
      <c r="L35" s="13">
        <v>0</v>
      </c>
      <c r="M35" s="13">
        <v>0</v>
      </c>
      <c r="N35" s="16">
        <v>58</v>
      </c>
      <c r="O35" s="22">
        <f t="shared" si="0"/>
        <v>454.86666667</v>
      </c>
      <c r="P35" s="20">
        <v>937</v>
      </c>
      <c r="Q35" s="20">
        <v>109</v>
      </c>
      <c r="R35" s="20">
        <v>427</v>
      </c>
      <c r="S35" s="20">
        <v>11</v>
      </c>
      <c r="T35" s="20">
        <v>655</v>
      </c>
      <c r="U35" s="19">
        <v>0</v>
      </c>
      <c r="V35" s="19">
        <v>0</v>
      </c>
      <c r="W35" s="19">
        <v>0</v>
      </c>
      <c r="X35" s="20">
        <v>691</v>
      </c>
      <c r="Y35" s="20">
        <v>288</v>
      </c>
      <c r="Z35" s="19"/>
    </row>
    <row r="36" spans="1:26">
      <c r="A36" s="6" t="s">
        <v>44</v>
      </c>
      <c r="B36" s="5" t="s">
        <v>16</v>
      </c>
      <c r="C36" s="6" t="s">
        <v>17</v>
      </c>
      <c r="D36" s="7" t="s">
        <v>114</v>
      </c>
      <c r="E36" s="6" t="s">
        <v>115</v>
      </c>
      <c r="F36" s="13">
        <v>87</v>
      </c>
      <c r="G36" s="13">
        <v>115</v>
      </c>
      <c r="H36" s="13">
        <v>92</v>
      </c>
      <c r="I36" s="13">
        <v>65</v>
      </c>
      <c r="J36" s="15">
        <v>83.42857143</v>
      </c>
      <c r="K36" s="13">
        <v>0</v>
      </c>
      <c r="L36" s="13">
        <v>0</v>
      </c>
      <c r="M36" s="13">
        <v>0</v>
      </c>
      <c r="N36" s="15">
        <v>67.9375</v>
      </c>
      <c r="O36" s="21">
        <f t="shared" si="0"/>
        <v>510.36607143</v>
      </c>
      <c r="P36" s="19">
        <v>690</v>
      </c>
      <c r="Q36" s="19">
        <v>19</v>
      </c>
      <c r="R36" s="19">
        <v>184</v>
      </c>
      <c r="S36" s="19">
        <v>52</v>
      </c>
      <c r="T36" s="19">
        <v>79</v>
      </c>
      <c r="U36" s="19">
        <v>0</v>
      </c>
      <c r="V36" s="19">
        <v>0</v>
      </c>
      <c r="W36" s="19">
        <v>0</v>
      </c>
      <c r="X36" s="19">
        <v>421</v>
      </c>
      <c r="Y36" s="19">
        <v>54</v>
      </c>
      <c r="Z36" s="20"/>
    </row>
    <row r="37" spans="1:26">
      <c r="A37" s="9" t="s">
        <v>44</v>
      </c>
      <c r="B37" s="5" t="s">
        <v>16</v>
      </c>
      <c r="C37" s="9" t="s">
        <v>17</v>
      </c>
      <c r="D37" s="10" t="s">
        <v>116</v>
      </c>
      <c r="E37" s="9" t="s">
        <v>117</v>
      </c>
      <c r="F37" s="14">
        <v>90</v>
      </c>
      <c r="G37" s="14">
        <v>79</v>
      </c>
      <c r="H37" s="14">
        <v>83.5</v>
      </c>
      <c r="I37" s="14">
        <v>33</v>
      </c>
      <c r="J37" s="16">
        <v>89</v>
      </c>
      <c r="K37" s="13">
        <v>0</v>
      </c>
      <c r="L37" s="13">
        <v>0</v>
      </c>
      <c r="M37" s="13">
        <v>0</v>
      </c>
      <c r="N37" s="16">
        <v>74.66666667</v>
      </c>
      <c r="O37" s="22">
        <f t="shared" si="0"/>
        <v>449.16666667</v>
      </c>
      <c r="P37" s="20">
        <v>558</v>
      </c>
      <c r="Q37" s="20">
        <v>363</v>
      </c>
      <c r="R37" s="20">
        <v>388</v>
      </c>
      <c r="S37" s="20">
        <v>789</v>
      </c>
      <c r="T37" s="20">
        <v>10</v>
      </c>
      <c r="U37" s="19">
        <v>0</v>
      </c>
      <c r="V37" s="19">
        <v>0</v>
      </c>
      <c r="W37" s="19">
        <v>0</v>
      </c>
      <c r="X37" s="20">
        <v>241</v>
      </c>
      <c r="Y37" s="20">
        <v>324</v>
      </c>
      <c r="Z37" s="19"/>
    </row>
    <row r="38" spans="1:26">
      <c r="A38" s="6" t="s">
        <v>44</v>
      </c>
      <c r="B38" s="5" t="s">
        <v>16</v>
      </c>
      <c r="C38" s="6" t="s">
        <v>17</v>
      </c>
      <c r="D38" s="7" t="s">
        <v>118</v>
      </c>
      <c r="E38" s="6" t="s">
        <v>119</v>
      </c>
      <c r="F38" s="13">
        <v>100</v>
      </c>
      <c r="G38" s="13">
        <v>110</v>
      </c>
      <c r="H38" s="13">
        <v>99.6</v>
      </c>
      <c r="I38" s="13">
        <v>37</v>
      </c>
      <c r="J38" s="15">
        <v>71.91666667</v>
      </c>
      <c r="K38" s="13">
        <v>0</v>
      </c>
      <c r="L38" s="13">
        <v>0</v>
      </c>
      <c r="M38" s="13">
        <v>0</v>
      </c>
      <c r="N38" s="15">
        <v>70</v>
      </c>
      <c r="O38" s="21">
        <f t="shared" si="0"/>
        <v>488.51666667</v>
      </c>
      <c r="P38" s="19">
        <v>123</v>
      </c>
      <c r="Q38" s="19">
        <v>35</v>
      </c>
      <c r="R38" s="19">
        <v>73</v>
      </c>
      <c r="S38" s="19">
        <v>673</v>
      </c>
      <c r="T38" s="19">
        <v>365</v>
      </c>
      <c r="U38" s="19">
        <v>0</v>
      </c>
      <c r="V38" s="19">
        <v>0</v>
      </c>
      <c r="W38" s="19">
        <v>0</v>
      </c>
      <c r="X38" s="19">
        <v>363</v>
      </c>
      <c r="Y38" s="19">
        <v>121</v>
      </c>
      <c r="Z38" s="20"/>
    </row>
    <row r="39" spans="1:26">
      <c r="A39" s="9" t="s">
        <v>44</v>
      </c>
      <c r="B39" s="5" t="s">
        <v>16</v>
      </c>
      <c r="C39" s="9" t="s">
        <v>17</v>
      </c>
      <c r="D39" s="10" t="s">
        <v>120</v>
      </c>
      <c r="E39" s="9" t="s">
        <v>121</v>
      </c>
      <c r="F39" s="14">
        <v>107</v>
      </c>
      <c r="G39" s="14">
        <v>81</v>
      </c>
      <c r="H39" s="14">
        <v>88.2</v>
      </c>
      <c r="I39" s="14">
        <v>72</v>
      </c>
      <c r="J39" s="16">
        <v>73.75</v>
      </c>
      <c r="K39" s="13">
        <v>0</v>
      </c>
      <c r="L39" s="13">
        <v>0</v>
      </c>
      <c r="M39" s="13">
        <v>0</v>
      </c>
      <c r="N39" s="16">
        <v>67.9375</v>
      </c>
      <c r="O39" s="22">
        <f t="shared" si="0"/>
        <v>489.8875</v>
      </c>
      <c r="P39" s="20">
        <v>14</v>
      </c>
      <c r="Q39" s="20">
        <v>328</v>
      </c>
      <c r="R39" s="20">
        <v>262</v>
      </c>
      <c r="S39" s="20">
        <v>18</v>
      </c>
      <c r="T39" s="20">
        <v>296</v>
      </c>
      <c r="U39" s="19">
        <v>0</v>
      </c>
      <c r="V39" s="19">
        <v>0</v>
      </c>
      <c r="W39" s="19">
        <v>0</v>
      </c>
      <c r="X39" s="20">
        <v>421</v>
      </c>
      <c r="Y39" s="20">
        <v>118</v>
      </c>
      <c r="Z39" s="19"/>
    </row>
    <row r="40" spans="1:26">
      <c r="A40" s="6" t="s">
        <v>44</v>
      </c>
      <c r="B40" s="5" t="s">
        <v>16</v>
      </c>
      <c r="C40" s="6" t="s">
        <v>17</v>
      </c>
      <c r="D40" s="7" t="s">
        <v>122</v>
      </c>
      <c r="E40" s="6" t="s">
        <v>123</v>
      </c>
      <c r="F40" s="13">
        <v>106</v>
      </c>
      <c r="G40" s="13">
        <v>90</v>
      </c>
      <c r="H40" s="13">
        <v>94.9</v>
      </c>
      <c r="I40" s="13">
        <v>41</v>
      </c>
      <c r="J40" s="15">
        <v>74.66666667</v>
      </c>
      <c r="K40" s="13">
        <v>0</v>
      </c>
      <c r="L40" s="13">
        <v>0</v>
      </c>
      <c r="M40" s="13">
        <v>0</v>
      </c>
      <c r="N40" s="15">
        <v>62.4375</v>
      </c>
      <c r="O40" s="21">
        <f t="shared" si="0"/>
        <v>469.00416667</v>
      </c>
      <c r="P40" s="19">
        <v>26</v>
      </c>
      <c r="Q40" s="19">
        <v>203</v>
      </c>
      <c r="R40" s="19">
        <v>135</v>
      </c>
      <c r="S40" s="19">
        <v>562</v>
      </c>
      <c r="T40" s="19">
        <v>268</v>
      </c>
      <c r="U40" s="19">
        <v>0</v>
      </c>
      <c r="V40" s="19">
        <v>0</v>
      </c>
      <c r="W40" s="19">
        <v>0</v>
      </c>
      <c r="X40" s="19">
        <v>603</v>
      </c>
      <c r="Y40" s="19">
        <v>196</v>
      </c>
      <c r="Z40" s="20"/>
    </row>
    <row r="41" spans="1:26">
      <c r="A41" s="9" t="s">
        <v>44</v>
      </c>
      <c r="B41" s="5" t="s">
        <v>16</v>
      </c>
      <c r="C41" s="9" t="s">
        <v>17</v>
      </c>
      <c r="D41" s="10" t="s">
        <v>18</v>
      </c>
      <c r="E41" s="9" t="s">
        <v>19</v>
      </c>
      <c r="F41" s="14">
        <v>97</v>
      </c>
      <c r="G41" s="14">
        <v>86</v>
      </c>
      <c r="H41" s="14">
        <v>81.3</v>
      </c>
      <c r="I41" s="14">
        <v>67</v>
      </c>
      <c r="J41" s="16">
        <v>68.16666667</v>
      </c>
      <c r="K41" s="13">
        <v>0</v>
      </c>
      <c r="L41" s="13">
        <v>0</v>
      </c>
      <c r="M41" s="13">
        <v>0</v>
      </c>
      <c r="N41" s="16">
        <v>75.58333333</v>
      </c>
      <c r="O41" s="22">
        <f t="shared" si="0"/>
        <v>475.05</v>
      </c>
      <c r="P41" s="20">
        <v>227</v>
      </c>
      <c r="Q41" s="20">
        <v>260</v>
      </c>
      <c r="R41" s="20">
        <v>449</v>
      </c>
      <c r="S41" s="20">
        <v>41</v>
      </c>
      <c r="T41" s="20">
        <v>483</v>
      </c>
      <c r="U41" s="19">
        <v>0</v>
      </c>
      <c r="V41" s="19">
        <v>0</v>
      </c>
      <c r="W41" s="19">
        <v>0</v>
      </c>
      <c r="X41" s="20">
        <v>215</v>
      </c>
      <c r="Y41" s="20">
        <v>170</v>
      </c>
      <c r="Z41" s="19"/>
    </row>
    <row r="42" spans="1:26">
      <c r="A42" s="6" t="s">
        <v>44</v>
      </c>
      <c r="B42" s="5" t="s">
        <v>16</v>
      </c>
      <c r="C42" s="6" t="s">
        <v>17</v>
      </c>
      <c r="D42" s="7" t="s">
        <v>20</v>
      </c>
      <c r="E42" s="6" t="s">
        <v>21</v>
      </c>
      <c r="F42" s="13">
        <v>86</v>
      </c>
      <c r="G42" s="13">
        <v>105</v>
      </c>
      <c r="H42" s="13">
        <v>75.7</v>
      </c>
      <c r="I42" s="13">
        <v>39</v>
      </c>
      <c r="J42" s="15">
        <v>71.91666667</v>
      </c>
      <c r="K42" s="13">
        <v>0</v>
      </c>
      <c r="L42" s="13">
        <v>0</v>
      </c>
      <c r="M42" s="13">
        <v>0</v>
      </c>
      <c r="N42" s="15">
        <v>58</v>
      </c>
      <c r="O42" s="21">
        <f t="shared" si="0"/>
        <v>435.61666667</v>
      </c>
      <c r="P42" s="19">
        <v>735</v>
      </c>
      <c r="Q42" s="19">
        <v>57</v>
      </c>
      <c r="R42" s="19">
        <v>618</v>
      </c>
      <c r="S42" s="19">
        <v>625</v>
      </c>
      <c r="T42" s="19">
        <v>365</v>
      </c>
      <c r="U42" s="19">
        <v>0</v>
      </c>
      <c r="V42" s="19">
        <v>0</v>
      </c>
      <c r="W42" s="19">
        <v>0</v>
      </c>
      <c r="X42" s="19">
        <v>691</v>
      </c>
      <c r="Y42" s="19">
        <v>422</v>
      </c>
      <c r="Z42" s="20"/>
    </row>
    <row r="43" spans="1:26">
      <c r="A43" s="9" t="s">
        <v>44</v>
      </c>
      <c r="B43" s="5" t="s">
        <v>16</v>
      </c>
      <c r="C43" s="9" t="s">
        <v>17</v>
      </c>
      <c r="D43" s="10" t="s">
        <v>22</v>
      </c>
      <c r="E43" s="9" t="s">
        <v>23</v>
      </c>
      <c r="F43" s="14">
        <v>96</v>
      </c>
      <c r="G43" s="14">
        <v>96</v>
      </c>
      <c r="H43" s="14">
        <v>97.2</v>
      </c>
      <c r="I43" s="14">
        <v>36</v>
      </c>
      <c r="J43" s="16">
        <v>59</v>
      </c>
      <c r="K43" s="13">
        <v>0</v>
      </c>
      <c r="L43" s="13">
        <v>0</v>
      </c>
      <c r="M43" s="13">
        <v>0</v>
      </c>
      <c r="N43" s="16">
        <v>77.41666667</v>
      </c>
      <c r="O43" s="22">
        <f t="shared" si="0"/>
        <v>461.61666667</v>
      </c>
      <c r="P43" s="20">
        <v>269</v>
      </c>
      <c r="Q43" s="20">
        <v>132</v>
      </c>
      <c r="R43" s="20">
        <v>106</v>
      </c>
      <c r="S43" s="20">
        <v>704</v>
      </c>
      <c r="T43" s="20">
        <v>763</v>
      </c>
      <c r="U43" s="19">
        <v>0</v>
      </c>
      <c r="V43" s="19">
        <v>0</v>
      </c>
      <c r="W43" s="19">
        <v>0</v>
      </c>
      <c r="X43" s="20">
        <v>176</v>
      </c>
      <c r="Y43" s="20">
        <v>240</v>
      </c>
      <c r="Z43" s="19"/>
    </row>
    <row r="44" spans="1:26">
      <c r="A44" s="6" t="s">
        <v>44</v>
      </c>
      <c r="B44" s="5" t="s">
        <v>16</v>
      </c>
      <c r="C44" s="6" t="s">
        <v>17</v>
      </c>
      <c r="D44" s="7" t="s">
        <v>24</v>
      </c>
      <c r="E44" s="6" t="s">
        <v>25</v>
      </c>
      <c r="F44" s="13">
        <v>96</v>
      </c>
      <c r="G44" s="13">
        <v>80</v>
      </c>
      <c r="H44" s="13">
        <v>70</v>
      </c>
      <c r="I44" s="13">
        <v>86</v>
      </c>
      <c r="J44" s="15">
        <v>77.41666667</v>
      </c>
      <c r="K44" s="13">
        <v>0</v>
      </c>
      <c r="L44" s="13">
        <v>0</v>
      </c>
      <c r="M44" s="13">
        <v>0</v>
      </c>
      <c r="N44" s="15">
        <v>80.16666667</v>
      </c>
      <c r="O44" s="21">
        <f t="shared" si="0"/>
        <v>489.58333334</v>
      </c>
      <c r="P44" s="19">
        <v>269</v>
      </c>
      <c r="Q44" s="19">
        <v>346</v>
      </c>
      <c r="R44" s="19">
        <v>767</v>
      </c>
      <c r="S44" s="19">
        <v>1</v>
      </c>
      <c r="T44" s="19">
        <v>196</v>
      </c>
      <c r="U44" s="19">
        <v>0</v>
      </c>
      <c r="V44" s="19">
        <v>0</v>
      </c>
      <c r="W44" s="19">
        <v>0</v>
      </c>
      <c r="X44" s="19">
        <v>125</v>
      </c>
      <c r="Y44" s="19">
        <v>119</v>
      </c>
      <c r="Z44" s="20"/>
    </row>
    <row r="45" spans="1:26">
      <c r="A45" s="9" t="s">
        <v>44</v>
      </c>
      <c r="B45" s="5" t="s">
        <v>16</v>
      </c>
      <c r="C45" s="9" t="s">
        <v>17</v>
      </c>
      <c r="D45" s="10" t="s">
        <v>26</v>
      </c>
      <c r="E45" s="9" t="s">
        <v>27</v>
      </c>
      <c r="F45" s="14">
        <v>87</v>
      </c>
      <c r="G45" s="14">
        <v>87</v>
      </c>
      <c r="H45" s="14">
        <v>101.9</v>
      </c>
      <c r="I45" s="14">
        <v>39</v>
      </c>
      <c r="J45" s="16">
        <v>67.25</v>
      </c>
      <c r="K45" s="13">
        <v>0</v>
      </c>
      <c r="L45" s="13">
        <v>0</v>
      </c>
      <c r="M45" s="13">
        <v>0</v>
      </c>
      <c r="N45" s="16">
        <v>60.375</v>
      </c>
      <c r="O45" s="22">
        <f t="shared" si="0"/>
        <v>442.525</v>
      </c>
      <c r="P45" s="20">
        <v>690</v>
      </c>
      <c r="Q45" s="20">
        <v>249</v>
      </c>
      <c r="R45" s="20">
        <v>52</v>
      </c>
      <c r="S45" s="20">
        <v>625</v>
      </c>
      <c r="T45" s="20">
        <v>518</v>
      </c>
      <c r="U45" s="19">
        <v>0</v>
      </c>
      <c r="V45" s="19">
        <v>0</v>
      </c>
      <c r="W45" s="19">
        <v>0</v>
      </c>
      <c r="X45" s="20">
        <v>650</v>
      </c>
      <c r="Y45" s="20">
        <v>368</v>
      </c>
      <c r="Z45" s="19"/>
    </row>
    <row r="46" spans="1:26">
      <c r="A46" s="6" t="s">
        <v>44</v>
      </c>
      <c r="B46" s="5" t="s">
        <v>16</v>
      </c>
      <c r="C46" s="6" t="s">
        <v>17</v>
      </c>
      <c r="D46" s="7" t="s">
        <v>28</v>
      </c>
      <c r="E46" s="6" t="s">
        <v>29</v>
      </c>
      <c r="F46" s="13">
        <v>97</v>
      </c>
      <c r="G46" s="13">
        <v>96</v>
      </c>
      <c r="H46" s="13">
        <v>81</v>
      </c>
      <c r="I46" s="13">
        <v>65</v>
      </c>
      <c r="J46" s="15">
        <v>82</v>
      </c>
      <c r="K46" s="13">
        <v>0</v>
      </c>
      <c r="L46" s="13">
        <v>0</v>
      </c>
      <c r="M46" s="13">
        <v>0</v>
      </c>
      <c r="N46" s="15">
        <v>73.75</v>
      </c>
      <c r="O46" s="21">
        <f t="shared" si="0"/>
        <v>494.75</v>
      </c>
      <c r="P46" s="19">
        <v>227</v>
      </c>
      <c r="Q46" s="19">
        <v>132</v>
      </c>
      <c r="R46" s="19">
        <v>458</v>
      </c>
      <c r="S46" s="19">
        <v>52</v>
      </c>
      <c r="T46" s="19">
        <v>100</v>
      </c>
      <c r="U46" s="19">
        <v>0</v>
      </c>
      <c r="V46" s="19">
        <v>0</v>
      </c>
      <c r="W46" s="19">
        <v>0</v>
      </c>
      <c r="X46" s="19">
        <v>263</v>
      </c>
      <c r="Y46" s="19">
        <v>99</v>
      </c>
      <c r="Z46" s="20"/>
    </row>
    <row r="47" spans="1:26">
      <c r="A47" s="9" t="s">
        <v>44</v>
      </c>
      <c r="B47" s="5" t="s">
        <v>16</v>
      </c>
      <c r="C47" s="9" t="s">
        <v>17</v>
      </c>
      <c r="D47" s="10" t="s">
        <v>30</v>
      </c>
      <c r="E47" s="9" t="s">
        <v>31</v>
      </c>
      <c r="F47" s="14">
        <v>97</v>
      </c>
      <c r="G47" s="14">
        <v>95</v>
      </c>
      <c r="H47" s="14">
        <v>94.9</v>
      </c>
      <c r="I47" s="14">
        <v>49</v>
      </c>
      <c r="J47" s="16">
        <v>85.57142857</v>
      </c>
      <c r="K47" s="13">
        <v>0</v>
      </c>
      <c r="L47" s="13">
        <v>0</v>
      </c>
      <c r="M47" s="13">
        <v>0</v>
      </c>
      <c r="N47" s="16">
        <v>81.08333333</v>
      </c>
      <c r="O47" s="22">
        <f t="shared" si="0"/>
        <v>502.5547619</v>
      </c>
      <c r="P47" s="20">
        <v>227</v>
      </c>
      <c r="Q47" s="20">
        <v>143</v>
      </c>
      <c r="R47" s="20">
        <v>135</v>
      </c>
      <c r="S47" s="20">
        <v>337</v>
      </c>
      <c r="T47" s="20">
        <v>37</v>
      </c>
      <c r="U47" s="19">
        <v>0</v>
      </c>
      <c r="V47" s="19">
        <v>0</v>
      </c>
      <c r="W47" s="19">
        <v>0</v>
      </c>
      <c r="X47" s="20">
        <v>104</v>
      </c>
      <c r="Y47" s="20">
        <v>76</v>
      </c>
      <c r="Z47" s="19"/>
    </row>
    <row r="48" spans="1:26">
      <c r="A48" s="6" t="s">
        <v>44</v>
      </c>
      <c r="B48" s="5" t="s">
        <v>16</v>
      </c>
      <c r="C48" s="6" t="s">
        <v>17</v>
      </c>
      <c r="D48" s="7" t="s">
        <v>32</v>
      </c>
      <c r="E48" s="6" t="s">
        <v>33</v>
      </c>
      <c r="F48" s="13">
        <v>95</v>
      </c>
      <c r="G48" s="13">
        <v>87</v>
      </c>
      <c r="H48" s="13">
        <v>80.6</v>
      </c>
      <c r="I48" s="13">
        <v>46</v>
      </c>
      <c r="J48" s="15">
        <v>61.75</v>
      </c>
      <c r="K48" s="13">
        <v>0</v>
      </c>
      <c r="L48" s="13">
        <v>0</v>
      </c>
      <c r="M48" s="13">
        <v>0</v>
      </c>
      <c r="N48" s="15">
        <v>71</v>
      </c>
      <c r="O48" s="21">
        <f t="shared" si="0"/>
        <v>441.35</v>
      </c>
      <c r="P48" s="19">
        <v>312</v>
      </c>
      <c r="Q48" s="19">
        <v>249</v>
      </c>
      <c r="R48" s="19">
        <v>468</v>
      </c>
      <c r="S48" s="19">
        <v>416</v>
      </c>
      <c r="T48" s="19">
        <v>684</v>
      </c>
      <c r="U48" s="19">
        <v>0</v>
      </c>
      <c r="V48" s="19">
        <v>0</v>
      </c>
      <c r="W48" s="19">
        <v>0</v>
      </c>
      <c r="X48" s="19">
        <v>335</v>
      </c>
      <c r="Y48" s="19">
        <v>381</v>
      </c>
      <c r="Z48" s="20"/>
    </row>
    <row r="49" spans="1:26">
      <c r="A49" s="9" t="s">
        <v>44</v>
      </c>
      <c r="B49" s="5" t="s">
        <v>16</v>
      </c>
      <c r="C49" s="9" t="s">
        <v>17</v>
      </c>
      <c r="D49" s="10" t="s">
        <v>34</v>
      </c>
      <c r="E49" s="9" t="s">
        <v>35</v>
      </c>
      <c r="F49" s="14">
        <v>105</v>
      </c>
      <c r="G49" s="14">
        <v>103</v>
      </c>
      <c r="H49" s="14">
        <v>80.1</v>
      </c>
      <c r="I49" s="14">
        <v>55</v>
      </c>
      <c r="J49" s="16">
        <v>86.85714286</v>
      </c>
      <c r="K49" s="13">
        <v>0</v>
      </c>
      <c r="L49" s="13">
        <v>0</v>
      </c>
      <c r="M49" s="13">
        <v>0</v>
      </c>
      <c r="N49" s="16">
        <v>85</v>
      </c>
      <c r="O49" s="22">
        <f t="shared" si="0"/>
        <v>514.95714286</v>
      </c>
      <c r="P49" s="20">
        <v>37</v>
      </c>
      <c r="Q49" s="20">
        <v>69</v>
      </c>
      <c r="R49" s="20">
        <v>480</v>
      </c>
      <c r="S49" s="20">
        <v>194</v>
      </c>
      <c r="T49" s="20">
        <v>24</v>
      </c>
      <c r="U49" s="19">
        <v>0</v>
      </c>
      <c r="V49" s="19">
        <v>0</v>
      </c>
      <c r="W49" s="19">
        <v>0</v>
      </c>
      <c r="X49" s="20">
        <v>39</v>
      </c>
      <c r="Y49" s="20">
        <v>44</v>
      </c>
      <c r="Z49" s="19"/>
    </row>
    <row r="50" spans="1:26">
      <c r="A50" s="6" t="s">
        <v>44</v>
      </c>
      <c r="B50" s="5" t="s">
        <v>16</v>
      </c>
      <c r="C50" s="6" t="s">
        <v>17</v>
      </c>
      <c r="D50" s="7" t="s">
        <v>36</v>
      </c>
      <c r="E50" s="6" t="s">
        <v>37</v>
      </c>
      <c r="F50" s="13">
        <v>87</v>
      </c>
      <c r="G50" s="13">
        <v>69</v>
      </c>
      <c r="H50" s="13">
        <v>79</v>
      </c>
      <c r="I50" s="13">
        <v>40</v>
      </c>
      <c r="J50" s="15">
        <v>75.58333333</v>
      </c>
      <c r="K50" s="13">
        <v>0</v>
      </c>
      <c r="L50" s="13">
        <v>0</v>
      </c>
      <c r="M50" s="13">
        <v>0</v>
      </c>
      <c r="N50" s="15">
        <v>77.41666667</v>
      </c>
      <c r="O50" s="21">
        <f t="shared" si="0"/>
        <v>428</v>
      </c>
      <c r="P50" s="19">
        <v>690</v>
      </c>
      <c r="Q50" s="19">
        <v>528</v>
      </c>
      <c r="R50" s="19">
        <v>513</v>
      </c>
      <c r="S50" s="19">
        <v>595</v>
      </c>
      <c r="T50" s="19">
        <v>237</v>
      </c>
      <c r="U50" s="19">
        <v>0</v>
      </c>
      <c r="V50" s="19">
        <v>0</v>
      </c>
      <c r="W50" s="19">
        <v>0</v>
      </c>
      <c r="X50" s="19">
        <v>176</v>
      </c>
      <c r="Y50" s="19">
        <v>476</v>
      </c>
      <c r="Z50" s="20"/>
    </row>
    <row r="51" spans="1:26">
      <c r="A51" s="9" t="s">
        <v>44</v>
      </c>
      <c r="B51" s="5" t="s">
        <v>16</v>
      </c>
      <c r="C51" s="9" t="s">
        <v>17</v>
      </c>
      <c r="D51" s="10" t="s">
        <v>38</v>
      </c>
      <c r="E51" s="9" t="s">
        <v>39</v>
      </c>
      <c r="F51" s="14">
        <v>92</v>
      </c>
      <c r="G51" s="14">
        <v>53</v>
      </c>
      <c r="H51" s="14">
        <v>81</v>
      </c>
      <c r="I51" s="14">
        <v>55</v>
      </c>
      <c r="J51" s="16">
        <v>76.5</v>
      </c>
      <c r="K51" s="13">
        <v>0</v>
      </c>
      <c r="L51" s="13">
        <v>0</v>
      </c>
      <c r="M51" s="13">
        <v>0</v>
      </c>
      <c r="N51" s="16">
        <v>85</v>
      </c>
      <c r="O51" s="22">
        <f t="shared" si="0"/>
        <v>442.5</v>
      </c>
      <c r="P51" s="20">
        <v>465</v>
      </c>
      <c r="Q51" s="20">
        <v>770</v>
      </c>
      <c r="R51" s="20">
        <v>458</v>
      </c>
      <c r="S51" s="20">
        <v>194</v>
      </c>
      <c r="T51" s="20">
        <v>214</v>
      </c>
      <c r="U51" s="19">
        <v>0</v>
      </c>
      <c r="V51" s="19">
        <v>0</v>
      </c>
      <c r="W51" s="19">
        <v>0</v>
      </c>
      <c r="X51" s="20">
        <v>39</v>
      </c>
      <c r="Y51" s="20">
        <v>369</v>
      </c>
      <c r="Z51" s="19"/>
    </row>
    <row r="52" spans="1:26">
      <c r="A52" s="6" t="s">
        <v>44</v>
      </c>
      <c r="B52" s="5" t="s">
        <v>16</v>
      </c>
      <c r="C52" s="6" t="s">
        <v>17</v>
      </c>
      <c r="D52" s="7" t="s">
        <v>40</v>
      </c>
      <c r="E52" s="6" t="s">
        <v>41</v>
      </c>
      <c r="F52" s="13">
        <v>107</v>
      </c>
      <c r="G52" s="13">
        <v>52</v>
      </c>
      <c r="H52" s="13">
        <v>101.9</v>
      </c>
      <c r="I52" s="13">
        <v>36</v>
      </c>
      <c r="J52" s="15">
        <v>56.45454545</v>
      </c>
      <c r="K52" s="13">
        <v>0</v>
      </c>
      <c r="L52" s="13">
        <v>0</v>
      </c>
      <c r="M52" s="13">
        <v>0</v>
      </c>
      <c r="N52" s="15">
        <v>71.91666667</v>
      </c>
      <c r="O52" s="21">
        <f t="shared" si="0"/>
        <v>425.27121212</v>
      </c>
      <c r="P52" s="19">
        <v>14</v>
      </c>
      <c r="Q52" s="19">
        <v>787</v>
      </c>
      <c r="R52" s="19">
        <v>52</v>
      </c>
      <c r="S52" s="19">
        <v>704</v>
      </c>
      <c r="T52" s="19">
        <v>811</v>
      </c>
      <c r="U52" s="19">
        <v>0</v>
      </c>
      <c r="V52" s="19">
        <v>0</v>
      </c>
      <c r="W52" s="19">
        <v>0</v>
      </c>
      <c r="X52" s="19">
        <v>308</v>
      </c>
      <c r="Y52" s="19">
        <v>491</v>
      </c>
      <c r="Z52" s="20"/>
    </row>
    <row r="53" spans="1:26">
      <c r="A53" s="9" t="s">
        <v>44</v>
      </c>
      <c r="B53" s="11" t="s">
        <v>16</v>
      </c>
      <c r="C53" s="9" t="s">
        <v>17</v>
      </c>
      <c r="D53" s="10" t="s">
        <v>42</v>
      </c>
      <c r="E53" s="9" t="s">
        <v>43</v>
      </c>
      <c r="F53" s="14">
        <v>81</v>
      </c>
      <c r="G53" s="14">
        <v>102</v>
      </c>
      <c r="H53" s="14">
        <v>81.3</v>
      </c>
      <c r="I53" s="14">
        <v>51</v>
      </c>
      <c r="J53" s="16">
        <v>84.71428571</v>
      </c>
      <c r="K53" s="13">
        <v>0</v>
      </c>
      <c r="L53" s="13">
        <v>0</v>
      </c>
      <c r="M53" s="13">
        <v>0</v>
      </c>
      <c r="N53" s="16">
        <v>77.41666667</v>
      </c>
      <c r="O53" s="22">
        <f t="shared" si="0"/>
        <v>477.43095238</v>
      </c>
      <c r="P53" s="20">
        <v>877</v>
      </c>
      <c r="Q53" s="20">
        <v>76</v>
      </c>
      <c r="R53" s="20">
        <v>449</v>
      </c>
      <c r="S53" s="20">
        <v>293</v>
      </c>
      <c r="T53" s="20">
        <v>49</v>
      </c>
      <c r="U53" s="19">
        <v>0</v>
      </c>
      <c r="V53" s="19">
        <v>0</v>
      </c>
      <c r="W53" s="19">
        <v>0</v>
      </c>
      <c r="X53" s="20">
        <v>176</v>
      </c>
      <c r="Y53" s="20">
        <v>161</v>
      </c>
      <c r="Z53" s="19"/>
    </row>
    <row r="54" spans="2:26">
      <c r="B54" s="9"/>
      <c r="C54" s="5"/>
      <c r="D54" s="9"/>
      <c r="E54" s="10"/>
      <c r="F54" s="9"/>
      <c r="G54" s="14"/>
      <c r="H54" s="14"/>
      <c r="I54" s="14"/>
      <c r="J54" s="14"/>
      <c r="K54" s="16"/>
      <c r="L54" s="13"/>
      <c r="M54" s="13"/>
      <c r="N54" s="13"/>
      <c r="O54" s="16"/>
      <c r="P54" s="22"/>
      <c r="Q54" s="20"/>
      <c r="R54" s="20"/>
      <c r="S54" s="20"/>
      <c r="T54" s="20"/>
      <c r="U54" s="20"/>
      <c r="V54" s="19"/>
      <c r="W54" s="19"/>
      <c r="X54" s="19"/>
      <c r="Y54" s="20"/>
      <c r="Z54" s="20"/>
    </row>
    <row r="55" spans="2:26">
      <c r="B55" s="6"/>
      <c r="C55" s="5"/>
      <c r="D55" s="6"/>
      <c r="E55" s="7"/>
      <c r="F55" s="6"/>
      <c r="G55" s="13"/>
      <c r="H55" s="13"/>
      <c r="I55" s="13"/>
      <c r="J55" s="13"/>
      <c r="K55" s="15"/>
      <c r="L55" s="13"/>
      <c r="M55" s="13"/>
      <c r="N55" s="13"/>
      <c r="O55" s="15"/>
      <c r="P55" s="21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2:26">
      <c r="B56" s="9"/>
      <c r="C56" s="5"/>
      <c r="D56" s="9"/>
      <c r="E56" s="10"/>
      <c r="F56" s="9"/>
      <c r="G56" s="14"/>
      <c r="H56" s="14"/>
      <c r="I56" s="14"/>
      <c r="J56" s="14"/>
      <c r="K56" s="16"/>
      <c r="L56" s="13"/>
      <c r="M56" s="13"/>
      <c r="N56" s="13"/>
      <c r="O56" s="16"/>
      <c r="P56" s="22"/>
      <c r="Q56" s="20"/>
      <c r="R56" s="20"/>
      <c r="S56" s="20"/>
      <c r="T56" s="20"/>
      <c r="U56" s="20"/>
      <c r="V56" s="19"/>
      <c r="W56" s="19"/>
      <c r="X56" s="19"/>
      <c r="Y56" s="20"/>
      <c r="Z56" s="20"/>
    </row>
    <row r="57" spans="2:26">
      <c r="B57" s="6"/>
      <c r="C57" s="5"/>
      <c r="D57" s="6"/>
      <c r="E57" s="7"/>
      <c r="F57" s="6"/>
      <c r="G57" s="13"/>
      <c r="H57" s="13"/>
      <c r="I57" s="13"/>
      <c r="J57" s="13"/>
      <c r="K57" s="15"/>
      <c r="L57" s="13"/>
      <c r="M57" s="13"/>
      <c r="N57" s="13"/>
      <c r="O57" s="15"/>
      <c r="P57" s="21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2:26">
      <c r="B58" s="9"/>
      <c r="C58" s="5"/>
      <c r="D58" s="9"/>
      <c r="E58" s="10"/>
      <c r="F58" s="9"/>
      <c r="G58" s="14"/>
      <c r="H58" s="14"/>
      <c r="I58" s="14"/>
      <c r="J58" s="14"/>
      <c r="K58" s="16"/>
      <c r="L58" s="13"/>
      <c r="M58" s="13"/>
      <c r="N58" s="13"/>
      <c r="O58" s="16"/>
      <c r="P58" s="22"/>
      <c r="Q58" s="20"/>
      <c r="R58" s="20"/>
      <c r="S58" s="20"/>
      <c r="T58" s="20"/>
      <c r="U58" s="20"/>
      <c r="V58" s="19"/>
      <c r="W58" s="19"/>
      <c r="X58" s="19"/>
      <c r="Y58" s="20"/>
      <c r="Z58" s="20"/>
    </row>
    <row r="59" spans="2:26">
      <c r="B59" s="6"/>
      <c r="C59" s="5"/>
      <c r="D59" s="6"/>
      <c r="E59" s="7"/>
      <c r="F59" s="6"/>
      <c r="G59" s="13"/>
      <c r="H59" s="13"/>
      <c r="I59" s="13"/>
      <c r="J59" s="13"/>
      <c r="K59" s="15"/>
      <c r="L59" s="13"/>
      <c r="M59" s="13"/>
      <c r="N59" s="13"/>
      <c r="O59" s="15"/>
      <c r="P59" s="21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2:26">
      <c r="B60" s="9"/>
      <c r="C60" s="11"/>
      <c r="D60" s="9"/>
      <c r="E60" s="10"/>
      <c r="F60" s="9"/>
      <c r="G60" s="14"/>
      <c r="H60" s="14"/>
      <c r="I60" s="14"/>
      <c r="J60" s="14"/>
      <c r="K60" s="16"/>
      <c r="L60" s="13"/>
      <c r="M60" s="13"/>
      <c r="N60" s="13"/>
      <c r="O60" s="16"/>
      <c r="P60" s="22"/>
      <c r="Q60" s="20"/>
      <c r="R60" s="20"/>
      <c r="S60" s="20"/>
      <c r="T60" s="20"/>
      <c r="U60" s="20"/>
      <c r="V60" s="19"/>
      <c r="W60" s="19"/>
      <c r="X60" s="19"/>
      <c r="Y60" s="20"/>
      <c r="Z60" s="20"/>
    </row>
  </sheetData>
  <conditionalFormatting sqref="E1">
    <cfRule type="duplicateValues" dxfId="3" priority="3" stopIfTrue="1"/>
  </conditionalFormatting>
  <conditionalFormatting sqref="F1:N1">
    <cfRule type="containsText" dxfId="4" priority="4" stopIfTrue="1" operator="between" text="缺考">
      <formula>NOT(ISERROR(SEARCH("缺考",F1)))</formula>
    </cfRule>
  </conditionalFormatting>
  <conditionalFormatting sqref="B2">
    <cfRule type="cellIs" dxfId="5" priority="5" stopIfTrue="1" operator="equal">
      <formula>0</formula>
    </cfRule>
  </conditionalFormatting>
  <conditionalFormatting sqref="E2">
    <cfRule type="cellIs" dxfId="5" priority="8" stopIfTrue="1" operator="equal">
      <formula>0</formula>
    </cfRule>
  </conditionalFormatting>
  <conditionalFormatting sqref="O2">
    <cfRule type="containsText" dxfId="4" priority="7" stopIfTrue="1" operator="between" text="缺考">
      <formula>NOT(ISERROR(SEARCH("缺考",O2)))</formula>
    </cfRule>
    <cfRule type="cellIs" dxfId="5" priority="6" stopIfTrue="1" operator="equal">
      <formula>0</formula>
    </cfRule>
  </conditionalFormatting>
  <conditionalFormatting sqref="B3:B52">
    <cfRule type="cellIs" dxfId="5" priority="2" stopIfTrue="1" operator="equal">
      <formula>0</formula>
    </cfRule>
  </conditionalFormatting>
  <conditionalFormatting sqref="C54:C59">
    <cfRule type="cellIs" dxfId="5" priority="17" stopIfTrue="1" operator="equal">
      <formula>0</formula>
    </cfRule>
  </conditionalFormatting>
  <conditionalFormatting sqref="E2:E53">
    <cfRule type="cellIs" dxfId="5" priority="12" stopIfTrue="1" operator="equal">
      <formula>0</formula>
    </cfRule>
  </conditionalFormatting>
  <conditionalFormatting sqref="E12:E53">
    <cfRule type="duplicateValues" dxfId="3" priority="11" stopIfTrue="1"/>
  </conditionalFormatting>
  <conditionalFormatting sqref="E13:E53">
    <cfRule type="duplicateValues" dxfId="3" priority="13" stopIfTrue="1"/>
  </conditionalFormatting>
  <conditionalFormatting sqref="F54:F60">
    <cfRule type="duplicateValues" dxfId="3" priority="26" stopIfTrue="1"/>
  </conditionalFormatting>
  <conditionalFormatting sqref="F54:F60">
    <cfRule type="duplicateValues" dxfId="3" priority="28" stopIfTrue="1"/>
  </conditionalFormatting>
  <conditionalFormatting sqref="F54:F60">
    <cfRule type="cellIs" dxfId="5" priority="27" stopIfTrue="1" operator="equal">
      <formula>0</formula>
    </cfRule>
  </conditionalFormatting>
  <conditionalFormatting sqref="O2:O11">
    <cfRule type="containsText" dxfId="4" priority="10" stopIfTrue="1" operator="between" text="缺考">
      <formula>NOT(ISERROR(SEARCH("缺考",O2)))</formula>
    </cfRule>
    <cfRule type="cellIs" dxfId="5" priority="9" stopIfTrue="1" operator="equal">
      <formula>0</formula>
    </cfRule>
  </conditionalFormatting>
  <conditionalFormatting sqref="O2:O12 A2:A52 C2:J52 N2:N53 A53:J53">
    <cfRule type="cellIs" dxfId="5" priority="14" stopIfTrue="1" operator="equal">
      <formula>0</formula>
    </cfRule>
  </conditionalFormatting>
  <conditionalFormatting sqref="F2:N53 O2:O12">
    <cfRule type="containsText" dxfId="4" priority="15" stopIfTrue="1" operator="between" text="缺考">
      <formula>NOT(ISERROR(SEARCH("缺考",F2)))</formula>
    </cfRule>
  </conditionalFormatting>
  <conditionalFormatting sqref="K2:M53">
    <cfRule type="cellIs" dxfId="5" priority="1" stopIfTrue="1" operator="equal">
      <formula>0</formula>
    </cfRule>
  </conditionalFormatting>
  <conditionalFormatting sqref="B54:B59 D54:K59 O54:O60 B60:K60">
    <cfRule type="cellIs" dxfId="5" priority="29" stopIfTrue="1" operator="equal">
      <formula>0</formula>
    </cfRule>
  </conditionalFormatting>
  <conditionalFormatting sqref="G54:O60">
    <cfRule type="containsText" dxfId="4" priority="30" stopIfTrue="1" operator="between" text="缺考">
      <formula>NOT(ISERROR(SEARCH("缺考",G54)))</formula>
    </cfRule>
  </conditionalFormatting>
  <conditionalFormatting sqref="L54:N60">
    <cfRule type="cellIs" dxfId="5" priority="16" stopIfTrue="1" operator="equal">
      <formula>0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苗条俊</cp:lastModifiedBy>
  <dcterms:created xsi:type="dcterms:W3CDTF">2026-01-15T08:23:00Z</dcterms:created>
  <dcterms:modified xsi:type="dcterms:W3CDTF">2026-01-15T00:34:40Z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038A9C7950222DA115C367699291E3F4_41</vt:lpwstr>
  </property>
  <property fmtid="{D5CDD505-2E9C-101B-9397-08002B2CF9AE}" pid="3" name="KSOProductBuildVer">
    <vt:lpwstr>2052-7.5.1.8994</vt:lpwstr>
  </property>
</Properties>
</file>